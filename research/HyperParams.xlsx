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jects\Subnet-18-Zeus\research\"/>
    </mc:Choice>
  </mc:AlternateContent>
  <xr:revisionPtr revIDLastSave="0" documentId="13_ncr:1_{86F0814D-5F01-447C-A7E9-A1257294EC92}" xr6:coauthVersionLast="47" xr6:coauthVersionMax="47" xr10:uidLastSave="{00000000-0000-0000-0000-000000000000}"/>
  <bookViews>
    <workbookView xWindow="-103" yWindow="-103" windowWidth="22149" windowHeight="11829" activeTab="2" xr2:uid="{701B61B4-A6E2-434A-B336-77C79E78CCA1}"/>
  </bookViews>
  <sheets>
    <sheet name="Sheet1" sheetId="1" r:id="rId1"/>
    <sheet name="Sheet2" sheetId="2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13" i="3" l="1"/>
  <c r="J12" i="3"/>
  <c r="J4" i="3"/>
  <c r="J5" i="3"/>
  <c r="J6" i="3"/>
  <c r="J7" i="3"/>
  <c r="J8" i="3"/>
  <c r="J9" i="3"/>
  <c r="J10" i="3"/>
  <c r="J11" i="3"/>
  <c r="J3" i="3"/>
  <c r="G119" i="3"/>
  <c r="G120" i="3"/>
  <c r="G121" i="3"/>
  <c r="G122" i="3"/>
  <c r="G113" i="3"/>
  <c r="G114" i="3"/>
  <c r="G115" i="3"/>
  <c r="G116" i="3"/>
  <c r="G117" i="3"/>
  <c r="G118" i="3"/>
  <c r="G103" i="3"/>
  <c r="G104" i="3"/>
  <c r="G105" i="3"/>
  <c r="G106" i="3"/>
  <c r="G107" i="3"/>
  <c r="G108" i="3"/>
  <c r="G109" i="3"/>
  <c r="G110" i="3"/>
  <c r="G111" i="3"/>
  <c r="G112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3" i="3"/>
  <c r="C13" i="3"/>
  <c r="C14" i="3"/>
  <c r="C15" i="3"/>
  <c r="C16" i="3"/>
  <c r="C17" i="3"/>
  <c r="C18" i="3"/>
  <c r="C19" i="3"/>
  <c r="C20" i="3"/>
  <c r="C21" i="3"/>
  <c r="C22" i="3"/>
  <c r="C4" i="3"/>
  <c r="C5" i="3"/>
  <c r="C6" i="3"/>
  <c r="C7" i="3"/>
  <c r="C8" i="3"/>
  <c r="C9" i="3"/>
  <c r="C10" i="3"/>
  <c r="C11" i="3"/>
  <c r="C12" i="3"/>
  <c r="C3" i="3"/>
  <c r="H3" i="2"/>
  <c r="H4" i="2"/>
  <c r="H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2" i="2"/>
  <c r="B85" i="2"/>
  <c r="B84" i="2"/>
  <c r="B83" i="2"/>
  <c r="B82" i="2"/>
  <c r="B81" i="2"/>
  <c r="B80" i="2"/>
  <c r="B79" i="2"/>
  <c r="B78" i="2"/>
  <c r="B77" i="2"/>
  <c r="B76" i="2"/>
  <c r="B75" i="2"/>
  <c r="B74" i="2"/>
  <c r="B73" i="2"/>
  <c r="B72" i="2"/>
  <c r="B71" i="2"/>
  <c r="B70" i="2"/>
  <c r="B69" i="2"/>
  <c r="B68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  <c r="C13" i="1"/>
  <c r="C14" i="1" s="1"/>
  <c r="C12" i="1"/>
  <c r="C26" i="1" s="1"/>
  <c r="C27" i="1" s="1"/>
  <c r="C11" i="1"/>
  <c r="C23" i="1" s="1"/>
  <c r="C24" i="1" s="1"/>
  <c r="F23" i="1"/>
  <c r="F24" i="1" s="1"/>
  <c r="D23" i="1"/>
  <c r="D24" i="1" s="1"/>
  <c r="H20" i="1"/>
  <c r="H21" i="1" s="1"/>
  <c r="G20" i="1"/>
  <c r="G21" i="1" s="1"/>
  <c r="F20" i="1"/>
  <c r="F21" i="1" s="1"/>
  <c r="D20" i="1"/>
  <c r="D21" i="1" s="1"/>
  <c r="B13" i="1"/>
  <c r="B14" i="1" s="1"/>
  <c r="B12" i="1"/>
  <c r="B26" i="1" s="1"/>
  <c r="B11" i="1"/>
  <c r="B17" i="1" s="1"/>
  <c r="B18" i="1" s="1"/>
  <c r="F13" i="1"/>
  <c r="F14" i="1" s="1"/>
  <c r="F12" i="1"/>
  <c r="F26" i="1" s="1"/>
  <c r="F11" i="1"/>
  <c r="F17" i="1" s="1"/>
  <c r="F18" i="1" s="1"/>
  <c r="D13" i="1"/>
  <c r="D14" i="1" s="1"/>
  <c r="D12" i="1"/>
  <c r="D26" i="1" s="1"/>
  <c r="D11" i="1"/>
  <c r="D15" i="1" s="1"/>
  <c r="H13" i="1"/>
  <c r="H14" i="1" s="1"/>
  <c r="H12" i="1"/>
  <c r="H26" i="1" s="1"/>
  <c r="H11" i="1"/>
  <c r="H23" i="1" s="1"/>
  <c r="H24" i="1" s="1"/>
  <c r="G13" i="1"/>
  <c r="G14" i="1" s="1"/>
  <c r="G12" i="1"/>
  <c r="G26" i="1" s="1"/>
  <c r="G11" i="1"/>
  <c r="G23" i="1" s="1"/>
  <c r="G24" i="1" s="1"/>
  <c r="I13" i="1"/>
  <c r="I14" i="1" s="1"/>
  <c r="I12" i="1"/>
  <c r="I11" i="1"/>
  <c r="I15" i="1" s="1"/>
  <c r="E13" i="1"/>
  <c r="E14" i="1" s="1"/>
  <c r="E12" i="1"/>
  <c r="E26" i="1" s="1"/>
  <c r="E27" i="1" s="1"/>
  <c r="E11" i="1"/>
  <c r="E23" i="1" s="1"/>
  <c r="E24" i="1" s="1"/>
  <c r="B27" i="1" l="1"/>
  <c r="E20" i="1"/>
  <c r="E21" i="1" s="1"/>
  <c r="B23" i="1"/>
  <c r="B24" i="1" s="1"/>
  <c r="G27" i="1"/>
  <c r="H27" i="1"/>
  <c r="D27" i="1"/>
  <c r="F27" i="1"/>
  <c r="C15" i="1"/>
  <c r="C17" i="1"/>
  <c r="C18" i="1" s="1"/>
  <c r="C20" i="1"/>
  <c r="C21" i="1" s="1"/>
  <c r="I20" i="1"/>
  <c r="I21" i="1" s="1"/>
  <c r="B20" i="1"/>
  <c r="B21" i="1" s="1"/>
  <c r="B15" i="1"/>
  <c r="F15" i="1"/>
  <c r="H15" i="1"/>
  <c r="D17" i="1"/>
  <c r="D18" i="1" s="1"/>
  <c r="H17" i="1"/>
  <c r="H18" i="1" s="1"/>
  <c r="G17" i="1"/>
  <c r="G18" i="1" s="1"/>
  <c r="G15" i="1"/>
  <c r="I17" i="1"/>
  <c r="I18" i="1" s="1"/>
  <c r="E15" i="1"/>
  <c r="E17" i="1"/>
  <c r="E18" i="1" s="1"/>
</calcChain>
</file>

<file path=xl/sharedStrings.xml><?xml version="1.0" encoding="utf-8"?>
<sst xmlns="http://schemas.openxmlformats.org/spreadsheetml/2006/main" count="289" uniqueCount="232">
  <si>
    <t>H</t>
  </si>
  <si>
    <t>W</t>
  </si>
  <si>
    <t>patch_size</t>
  </si>
  <si>
    <t>heads</t>
  </si>
  <si>
    <t>H/p</t>
  </si>
  <si>
    <t>W/p</t>
  </si>
  <si>
    <t>H/p * W/p</t>
  </si>
  <si>
    <t>T1</t>
  </si>
  <si>
    <t>T2</t>
  </si>
  <si>
    <t>C</t>
  </si>
  <si>
    <t>dim = p * p * C</t>
  </si>
  <si>
    <t>attLayers = 1</t>
  </si>
  <si>
    <t>L = T1 * H/p * W/p</t>
  </si>
  <si>
    <t>L * L * heads</t>
  </si>
  <si>
    <t>dim_head = dim / heads</t>
  </si>
  <si>
    <t>Original</t>
  </si>
  <si>
    <t>L2 = H/p * W/p</t>
  </si>
  <si>
    <t>L2 * L2 * heads * T1</t>
  </si>
  <si>
    <t>L3 = T1 * H/p</t>
  </si>
  <si>
    <t>L3 * L3 * heads * W/p</t>
  </si>
  <si>
    <t>L4 = T1 * W/p</t>
  </si>
  <si>
    <t>L4 * L4 * heads * H/p</t>
  </si>
  <si>
    <t>Mode.1</t>
  </si>
  <si>
    <t>Mode.2</t>
  </si>
  <si>
    <t>Mode.4</t>
  </si>
  <si>
    <t>Mode.5</t>
  </si>
  <si>
    <t>Mode.6</t>
  </si>
  <si>
    <t>Mode.7</t>
  </si>
  <si>
    <t>Mode.3  --- diver</t>
  </si>
  <si>
    <t>Epoch 1, loss: 10.346706</t>
  </si>
  <si>
    <t>Epoch 2, loss: 9.306038</t>
  </si>
  <si>
    <t>Epoch 3, loss: 8.720799</t>
  </si>
  <si>
    <t>Epoch 4, loss: 8.249773</t>
  </si>
  <si>
    <t>Epoch 5, loss: 7.859680</t>
  </si>
  <si>
    <t>Epoch 6, loss: 7.501871</t>
  </si>
  <si>
    <t>Epoch 7, loss: 7.196929</t>
  </si>
  <si>
    <t>Epoch 8, loss: 6.938165</t>
  </si>
  <si>
    <t>Epoch 9, loss: 6.700725</t>
  </si>
  <si>
    <t>Epoch 10, loss: 6.484732</t>
  </si>
  <si>
    <t>Epoch 11, loss: 6.364629</t>
  </si>
  <si>
    <t>Epoch 12, loss: 6.168781</t>
  </si>
  <si>
    <t>Epoch 13, loss: 6.006773</t>
  </si>
  <si>
    <t>Epoch 14, loss: 5.889474</t>
  </si>
  <si>
    <t>Epoch 15, loss: 5.759676</t>
  </si>
  <si>
    <t>Epoch 16, loss: 5.664981</t>
  </si>
  <si>
    <t>Epoch 17, loss: 5.557730</t>
  </si>
  <si>
    <t>Epoch 18, loss: 5.469544</t>
  </si>
  <si>
    <t>Epoch 19, loss: 5.383344</t>
  </si>
  <si>
    <t>Epoch 20, loss: 5.352592</t>
  </si>
  <si>
    <t>Epoch 21, loss: 5.269504</t>
  </si>
  <si>
    <t>Epoch 22, loss: 5.199634</t>
  </si>
  <si>
    <t>Epoch 23, loss: 5.123388</t>
  </si>
  <si>
    <t>Epoch 24, loss: 5.063388</t>
  </si>
  <si>
    <t>Epoch 25, loss: 5.017103</t>
  </si>
  <si>
    <t>Epoch 26, loss: 4.970678</t>
  </si>
  <si>
    <t>Epoch 27, loss: 4.915464</t>
  </si>
  <si>
    <t>factor 5, 24c-12c-c, 1e-3</t>
  </si>
  <si>
    <t>factor 5, 24c-24c-12c-c, 1e-3</t>
  </si>
  <si>
    <t>Epoch 2, loss: 9.538632</t>
  </si>
  <si>
    <t>Epoch 3, loss: 8.910780</t>
  </si>
  <si>
    <t>Epoch 4, loss: 8.409369</t>
  </si>
  <si>
    <t>Epoch 5, loss: 7.986500</t>
  </si>
  <si>
    <t>Epoch 6, loss: 7.615491</t>
  </si>
  <si>
    <t>Epoch 7, loss: 7.286349</t>
  </si>
  <si>
    <t>Epoch 8, loss: 7.005177</t>
  </si>
  <si>
    <t>Epoch 9, loss: 6.752085</t>
  </si>
  <si>
    <t>Epoch 10, loss: 6.547058</t>
  </si>
  <si>
    <t>Epoch 11, loss: 6.363682</t>
  </si>
  <si>
    <t>Epoch 12, loss: 6.223873</t>
  </si>
  <si>
    <t>Epoch 13, loss: 6.069219</t>
  </si>
  <si>
    <t>Epoch 14, loss: 5.917526</t>
  </si>
  <si>
    <t>Epoch 15, loss: 5.808626</t>
  </si>
  <si>
    <t>Epoch 16, loss: 5.693556</t>
  </si>
  <si>
    <t>Epoch 1, loss: 10.534499</t>
  </si>
  <si>
    <r>
      <t xml:space="preserve">factor 5, 24c-24c-12c-c, </t>
    </r>
    <r>
      <rPr>
        <sz val="11"/>
        <color rgb="FFFF0000"/>
        <rFont val="Calibri"/>
        <family val="2"/>
        <scheme val="minor"/>
      </rPr>
      <t>1e-5</t>
    </r>
  </si>
  <si>
    <t>Epoch 1, loss: 11.471894</t>
  </si>
  <si>
    <t>Epoch 2, loss: 11.396761</t>
  </si>
  <si>
    <t>Epoch 3, loss: 11.330163</t>
  </si>
  <si>
    <t>Epoch 1, loss: 12.281869</t>
  </si>
  <si>
    <t>Epoch 2, loss: 10.475530</t>
  </si>
  <si>
    <t>Epoch 3, loss: 9.022104</t>
  </si>
  <si>
    <t>Epoch 4, loss: 7.710941</t>
  </si>
  <si>
    <t>Epoch 5, loss: 6.686558</t>
  </si>
  <si>
    <t>Epoch 6, loss: 5.719036</t>
  </si>
  <si>
    <t>Epoch 7, loss: 4.880164</t>
  </si>
  <si>
    <t>Epoch 8, loss: 4.163061</t>
  </si>
  <si>
    <t>Epoch 9, loss: 3.394669</t>
  </si>
  <si>
    <t>Epoch 10, loss: 2.838234</t>
  </si>
  <si>
    <t>Epoch 11, loss: 2.425724</t>
  </si>
  <si>
    <t>Epoch 12, loss: 1.996673</t>
  </si>
  <si>
    <t>Epoch 13, loss: 1.602676</t>
  </si>
  <si>
    <t>Epoch 14, loss: 1.530042</t>
  </si>
  <si>
    <t>Epoch 15, loss: 1.242557</t>
  </si>
  <si>
    <t>Epoch 16, loss: 1.260838</t>
  </si>
  <si>
    <t>Epoch 17, loss: 1.161841</t>
  </si>
  <si>
    <t>Epoch 18, loss: 1.201096</t>
  </si>
  <si>
    <t>Epoch 19, loss: 1.398683</t>
  </si>
  <si>
    <t>Epoch 20, loss: 1.213396</t>
  </si>
  <si>
    <t>Epoch 1, loss: 11.477462</t>
  </si>
  <si>
    <t>Epoch 2, loss: 10.243162</t>
  </si>
  <si>
    <t>Epoch 3, loss: 9.420267</t>
  </si>
  <si>
    <t>Epoch 4, loss: 8.697382</t>
  </si>
  <si>
    <t>Epoch 5, loss: 8.088422</t>
  </si>
  <si>
    <t>Epoch 6, loss: 7.508651</t>
  </si>
  <si>
    <t>Epoch 7, loss: 7.041237</t>
  </si>
  <si>
    <t>Epoch 8, loss: 6.598259</t>
  </si>
  <si>
    <t>Epoch 9, loss: 6.194946</t>
  </si>
  <si>
    <t>Epoch 10, loss: 5.867760</t>
  </si>
  <si>
    <t>Epoch 11, loss: 5.454253</t>
  </si>
  <si>
    <t>Epoch 12, loss: 5.222091</t>
  </si>
  <si>
    <t>Epoch 13, loss: 4.901389</t>
  </si>
  <si>
    <t>Epoch 14, loss: 4.663501</t>
  </si>
  <si>
    <t>Epoch 15, loss: 4.540565</t>
  </si>
  <si>
    <t>Epoch 16, loss: 4.334877</t>
  </si>
  <si>
    <t>Epoch 17, loss: 4.141030</t>
  </si>
  <si>
    <t>Epoch 18, loss: 3.982562</t>
  </si>
  <si>
    <t>Epoch 19, loss: 3.864969</t>
  </si>
  <si>
    <t>Epoch 20, loss: 3.784898</t>
  </si>
  <si>
    <t>Epoch 21, loss: 3.635381</t>
  </si>
  <si>
    <t>Epoch 22, loss: 3.539110</t>
  </si>
  <si>
    <t>Epoch 23, loss: 3.377213</t>
  </si>
  <si>
    <t>Epoch 24, loss: 3.352773</t>
  </si>
  <si>
    <t>Epoch 25, loss: 3.223030</t>
  </si>
  <si>
    <t>Epoch 26, loss: 3.061386</t>
  </si>
  <si>
    <t>Epoch 27, loss: 2.974332</t>
  </si>
  <si>
    <t>Epoch 28, loss: 2.900237</t>
  </si>
  <si>
    <t>Epoch 29, loss: 2.798476</t>
  </si>
  <si>
    <t>Epoch 30, loss: 2.729570</t>
  </si>
  <si>
    <t>Epoch 31, loss: 2.627523</t>
  </si>
  <si>
    <t>Epoch 32, loss: 2.535836</t>
  </si>
  <si>
    <t>Epoch 33, loss: 2.473301</t>
  </si>
  <si>
    <t>Epoch 34, loss: 2.386200</t>
  </si>
  <si>
    <t>Epoch 35, loss: 2.317128</t>
  </si>
  <si>
    <t>Epoch 36, loss: 2.259426</t>
  </si>
  <si>
    <t>Epoch 37, loss: 2.191773</t>
  </si>
  <si>
    <t>Epoch 38, loss: 2.123129</t>
  </si>
  <si>
    <t>Epoch 39, loss: 2.048693</t>
  </si>
  <si>
    <t>Epoch 40, loss: 2.002573</t>
  </si>
  <si>
    <t>Epoch 41, loss: 1.940473</t>
  </si>
  <si>
    <t>Epoch 42, loss: 1.886076</t>
  </si>
  <si>
    <t>Epoch 43, loss: 1.835834</t>
  </si>
  <si>
    <t>Epoch 44, loss: 1.777252</t>
  </si>
  <si>
    <t>Epoch 45, loss: 1.725334</t>
  </si>
  <si>
    <t>Epoch 46, loss: 1.681463</t>
  </si>
  <si>
    <t>Epoch 47, loss: 1.639722</t>
  </si>
  <si>
    <t>Epoch 48, loss: 1.596332</t>
  </si>
  <si>
    <t>Epoch 49, loss: 1.554901</t>
  </si>
  <si>
    <t>Epoch 50, loss: 1.518641</t>
  </si>
  <si>
    <t>Epoch 51, loss: 1.475791</t>
  </si>
  <si>
    <t>Epoch 52, loss: 1.436789</t>
  </si>
  <si>
    <t>Epoch 53, loss: 1.400769</t>
  </si>
  <si>
    <t>Epoch 54, loss: 1.368222</t>
  </si>
  <si>
    <t>Epoch 55, loss: 1.341401</t>
  </si>
  <si>
    <t>Epoch 56, loss: 1.310616</t>
  </si>
  <si>
    <t>Epoch 57, loss: 1.280481</t>
  </si>
  <si>
    <t>Epoch 58, loss: 1.256044</t>
  </si>
  <si>
    <t>Epoch 59, loss: 1.228986</t>
  </si>
  <si>
    <t>Epoch 60, loss: 1.216789</t>
  </si>
  <si>
    <t>Epoch 61, loss: 1.184456</t>
  </si>
  <si>
    <t>Epoch 62, loss: 1.158072</t>
  </si>
  <si>
    <t>Epoch 63, loss: 1.136714</t>
  </si>
  <si>
    <t>Epoch 64, loss: 1.114737</t>
  </si>
  <si>
    <t>Epoch 65, loss: 1.101069</t>
  </si>
  <si>
    <t>Epoch 66, loss: 1.081159</t>
  </si>
  <si>
    <t>Epoch 67, loss: 1.061044</t>
  </si>
  <si>
    <t>Epoch 68, loss: 1.058828</t>
  </si>
  <si>
    <t>Epoch 69, loss: 1.034818</t>
  </si>
  <si>
    <t>Epoch 70, loss: 1.012495</t>
  </si>
  <si>
    <t>Epoch 71, loss: 0.997314</t>
  </si>
  <si>
    <t>Epoch 72, loss: 0.985868</t>
  </si>
  <si>
    <t>Epoch 73, loss: 0.971784</t>
  </si>
  <si>
    <t>Epoch 74, loss: 0.958516</t>
  </si>
  <si>
    <t>Epoch 75, loss: 0.945669</t>
  </si>
  <si>
    <t>Epoch 76, loss: 0.935403</t>
  </si>
  <si>
    <t>Epoch 77, loss: 0.927497</t>
  </si>
  <si>
    <t>Epoch 78, loss: 0.918171</t>
  </si>
  <si>
    <t>Epoch 79, loss: 0.907163</t>
  </si>
  <si>
    <t>Epoch 80, loss: 0.891689</t>
  </si>
  <si>
    <t>Epoch 81, loss: 0.880421</t>
  </si>
  <si>
    <t>Epoch 82, loss: 0.871693</t>
  </si>
  <si>
    <t>Epoch 83, loss: 0.866567</t>
  </si>
  <si>
    <t>Epoch 84, loss: 0.858507</t>
  </si>
  <si>
    <t>Epoch 85, loss: 0.843729</t>
  </si>
  <si>
    <t>Epoch 86, loss: 0.834172</t>
  </si>
  <si>
    <t>Epoch 87, loss: 0.843587</t>
  </si>
  <si>
    <t>Epoch 88, loss: 0.827720</t>
  </si>
  <si>
    <t>Epoch 89, loss: 0.810280</t>
  </si>
  <si>
    <t>Epoch 90, loss: 0.802923</t>
  </si>
  <si>
    <t>Epoch 91, loss: 0.793765</t>
  </si>
  <si>
    <t>Epoch 92, loss: 0.796117</t>
  </si>
  <si>
    <t>Epoch 93, loss: 0.786510</t>
  </si>
  <si>
    <t>Epoch 94, loss: 0.781767</t>
  </si>
  <si>
    <t>Epoch 95, loss: 0.766877</t>
  </si>
  <si>
    <t>Epoch 96, loss: 0.764054</t>
  </si>
  <si>
    <t>Epoch 97, loss: 0.755534</t>
  </si>
  <si>
    <t>Epoch 98, loss: 0.745691</t>
  </si>
  <si>
    <t>Epoch 99, loss: 0.747766</t>
  </si>
  <si>
    <t>Epoch 100, loss: 0.744247</t>
  </si>
  <si>
    <t>Epoch 101, loss: 0.733087</t>
  </si>
  <si>
    <t>Epoch 102, loss: 0.722541</t>
  </si>
  <si>
    <t>Epoch 103, loss: 0.718890</t>
  </si>
  <si>
    <t>Epoch 104, loss: 0.717551</t>
  </si>
  <si>
    <t>Epoch 105, loss: 0.706140</t>
  </si>
  <si>
    <t>Epoch 106, loss: 0.700950</t>
  </si>
  <si>
    <t>Epoch 107, loss: 0.703976</t>
  </si>
  <si>
    <t>Epoch 108, loss: 0.701008</t>
  </si>
  <si>
    <t>Epoch 109, loss: 0.693825</t>
  </si>
  <si>
    <t>Epoch 110, loss: 0.682525</t>
  </si>
  <si>
    <t>Epoch 111, loss: 0.679352</t>
  </si>
  <si>
    <t>Epoch 112, loss: 0.672255</t>
  </si>
  <si>
    <t>Epoch 113, loss: 0.675385</t>
  </si>
  <si>
    <t>Epoch 114, loss: 0.674036</t>
  </si>
  <si>
    <t>Epoch 115, loss: 0.666563</t>
  </si>
  <si>
    <t>Epoch 116, loss: 0.658701</t>
  </si>
  <si>
    <t>Epoch 117, loss: 0.651802</t>
  </si>
  <si>
    <t>Epoch 118, loss: 0.648337</t>
  </si>
  <si>
    <t>Epoch 119, loss: 0.653472</t>
  </si>
  <si>
    <t>Epoch 120, loss: 0.647181</t>
  </si>
  <si>
    <t>f 8, ks 9, [nC, C], 1e-3, 628km</t>
  </si>
  <si>
    <t>f 4, ks 5, [nC, C], 1e-3, 698km</t>
  </si>
  <si>
    <t>f 2, ks 3, [nC, C], 1e-3, 837km</t>
  </si>
  <si>
    <t>Epoch 1, loss: 10.178493</t>
  </si>
  <si>
    <t>Epoch 2, loss: 9.379157</t>
  </si>
  <si>
    <t>Epoch 3, loss: 8.954072</t>
  </si>
  <si>
    <t>Epoch 4, loss: 8.608480</t>
  </si>
  <si>
    <t>Epoch 5, loss: 8.310584</t>
  </si>
  <si>
    <t>Epoch 6, loss: 8.032576</t>
  </si>
  <si>
    <t>Epoch 7, loss: 7.822782</t>
  </si>
  <si>
    <t>Epoch 8, loss: 7.611291</t>
  </si>
  <si>
    <t>Epoch 9, loss: 7.389453</t>
  </si>
  <si>
    <t>Epoch 10, loss: 7.222379</t>
  </si>
  <si>
    <t>Epoch 11, loss: 7.057654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</si>
</sst>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6"/>
      <color rgb="FFCE9178"/>
      <name val="Consolas"/>
      <family val="3"/>
    </font>
    <font>
      <sz val="11"/>
      <color rgb="FF7030A0"/>
      <name val="Calibri"/>
      <family val="2"/>
      <scheme val="minor"/>
    </font>
    <font>
      <sz val="11"/>
      <color rgb="FFC00000"/>
      <name val="Calibri"/>
      <family val="2"/>
      <scheme val="minor"/>
    </font>
    <font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4" fontId="0" fillId="0" borderId="0" xfId="0" applyNumberFormat="1"/>
    <xf numFmtId="0" fontId="1" fillId="0" borderId="0" xfId="0" applyFont="1" applyAlignment="1">
      <alignment vertical="center"/>
    </xf>
    <xf numFmtId="0" fontId="2" fillId="0" borderId="0" xfId="0" applyFont="1"/>
    <xf numFmtId="4" fontId="2" fillId="0" borderId="0" xfId="0" applyNumberFormat="1" applyFont="1"/>
    <xf numFmtId="4" fontId="3" fillId="0" borderId="0" xfId="0" applyNumberFormat="1" applyFont="1"/>
    <xf numFmtId="4" fontId="0" fillId="2" borderId="0" xfId="0" applyNumberFormat="1" applyFill="1"/>
    <xf numFmtId="4" fontId="3" fillId="2" borderId="0" xfId="0" applyNumberFormat="1" applyFont="1" applyFill="1"/>
    <xf numFmtId="4" fontId="0" fillId="3" borderId="0" xfId="0" applyNumberFormat="1" applyFill="1"/>
    <xf numFmtId="0" fontId="0" fillId="3" borderId="0" xfId="0" applyFill="1"/>
    <xf numFmtId="4" fontId="3" fillId="3" borderId="0" xfId="0" applyNumberFormat="1" applyFont="1" applyFill="1"/>
    <xf numFmtId="0" fontId="0" fillId="0" borderId="0" xfId="0" applyAlignment="1">
      <alignment vertical="center"/>
    </xf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Sheet2!$B$2:$B$85</c:f>
              <c:numCache>
                <c:formatCode>General</c:formatCode>
                <c:ptCount val="84"/>
                <c:pt idx="0">
                  <c:v>10.346705999999999</c:v>
                </c:pt>
                <c:pt idx="1">
                  <c:v>9.3060379999999991</c:v>
                </c:pt>
                <c:pt idx="2">
                  <c:v>8.7207989999999995</c:v>
                </c:pt>
                <c:pt idx="3">
                  <c:v>8.2497729999999994</c:v>
                </c:pt>
                <c:pt idx="4">
                  <c:v>7.85968</c:v>
                </c:pt>
                <c:pt idx="5">
                  <c:v>7.5018710000000004</c:v>
                </c:pt>
                <c:pt idx="6">
                  <c:v>7.1969289999999999</c:v>
                </c:pt>
                <c:pt idx="7">
                  <c:v>6.9381649999999997</c:v>
                </c:pt>
                <c:pt idx="8">
                  <c:v>6.7007250000000003</c:v>
                </c:pt>
                <c:pt idx="9">
                  <c:v>6.4847320000000002</c:v>
                </c:pt>
                <c:pt idx="10">
                  <c:v>6.3646289999999999</c:v>
                </c:pt>
                <c:pt idx="11">
                  <c:v>6.1687810000000001</c:v>
                </c:pt>
                <c:pt idx="12">
                  <c:v>6.0067729999999999</c:v>
                </c:pt>
                <c:pt idx="13">
                  <c:v>5.8894739999999999</c:v>
                </c:pt>
                <c:pt idx="14">
                  <c:v>5.7596759999999998</c:v>
                </c:pt>
                <c:pt idx="15">
                  <c:v>5.664981</c:v>
                </c:pt>
                <c:pt idx="16">
                  <c:v>5.5577300000000003</c:v>
                </c:pt>
                <c:pt idx="17">
                  <c:v>5.469544</c:v>
                </c:pt>
                <c:pt idx="18">
                  <c:v>5.3833440000000001</c:v>
                </c:pt>
                <c:pt idx="19">
                  <c:v>5.3525919999999996</c:v>
                </c:pt>
                <c:pt idx="20">
                  <c:v>5.2695040000000004</c:v>
                </c:pt>
                <c:pt idx="21">
                  <c:v>6.0067729999999999</c:v>
                </c:pt>
                <c:pt idx="22">
                  <c:v>5.8894739999999999</c:v>
                </c:pt>
                <c:pt idx="23">
                  <c:v>5.7596759999999998</c:v>
                </c:pt>
                <c:pt idx="24">
                  <c:v>5.664981</c:v>
                </c:pt>
                <c:pt idx="25">
                  <c:v>5.5577300000000003</c:v>
                </c:pt>
                <c:pt idx="26">
                  <c:v>5.469544</c:v>
                </c:pt>
                <c:pt idx="27">
                  <c:v>5.3833440000000001</c:v>
                </c:pt>
                <c:pt idx="28">
                  <c:v>5.3525919999999996</c:v>
                </c:pt>
                <c:pt idx="29">
                  <c:v>6.0067729999999999</c:v>
                </c:pt>
                <c:pt idx="30">
                  <c:v>5.8894739999999999</c:v>
                </c:pt>
                <c:pt idx="31">
                  <c:v>5.7596759999999998</c:v>
                </c:pt>
                <c:pt idx="32">
                  <c:v>5.664981</c:v>
                </c:pt>
                <c:pt idx="33">
                  <c:v>5.5577300000000003</c:v>
                </c:pt>
                <c:pt idx="34">
                  <c:v>5.469544</c:v>
                </c:pt>
                <c:pt idx="35">
                  <c:v>5.3833440000000001</c:v>
                </c:pt>
                <c:pt idx="36">
                  <c:v>6.0067729999999999</c:v>
                </c:pt>
                <c:pt idx="37">
                  <c:v>5.8894739999999999</c:v>
                </c:pt>
                <c:pt idx="38">
                  <c:v>5.7596759999999998</c:v>
                </c:pt>
                <c:pt idx="39">
                  <c:v>5.664981</c:v>
                </c:pt>
                <c:pt idx="40">
                  <c:v>5.5577300000000003</c:v>
                </c:pt>
                <c:pt idx="41">
                  <c:v>6.0067729999999999</c:v>
                </c:pt>
                <c:pt idx="42">
                  <c:v>5.8894739999999999</c:v>
                </c:pt>
                <c:pt idx="43">
                  <c:v>5.7596759999999998</c:v>
                </c:pt>
                <c:pt idx="44">
                  <c:v>5.664981</c:v>
                </c:pt>
                <c:pt idx="45">
                  <c:v>6.0067729999999999</c:v>
                </c:pt>
                <c:pt idx="46">
                  <c:v>5.8894739999999999</c:v>
                </c:pt>
                <c:pt idx="47">
                  <c:v>5.7596759999999998</c:v>
                </c:pt>
                <c:pt idx="48">
                  <c:v>6.0067729999999999</c:v>
                </c:pt>
                <c:pt idx="49">
                  <c:v>5.8894739999999999</c:v>
                </c:pt>
                <c:pt idx="50">
                  <c:v>5.7596759999999998</c:v>
                </c:pt>
                <c:pt idx="51">
                  <c:v>5.664981</c:v>
                </c:pt>
                <c:pt idx="52">
                  <c:v>5.5577300000000003</c:v>
                </c:pt>
                <c:pt idx="53">
                  <c:v>6.0067729999999999</c:v>
                </c:pt>
                <c:pt idx="54">
                  <c:v>5.8894739999999999</c:v>
                </c:pt>
                <c:pt idx="55">
                  <c:v>5.7596759999999998</c:v>
                </c:pt>
                <c:pt idx="56">
                  <c:v>5.664981</c:v>
                </c:pt>
                <c:pt idx="57">
                  <c:v>6.0067729999999999</c:v>
                </c:pt>
                <c:pt idx="58">
                  <c:v>5.8894739999999999</c:v>
                </c:pt>
                <c:pt idx="59">
                  <c:v>5.7596759999999998</c:v>
                </c:pt>
                <c:pt idx="60">
                  <c:v>5.664981</c:v>
                </c:pt>
                <c:pt idx="61">
                  <c:v>5.5577300000000003</c:v>
                </c:pt>
                <c:pt idx="62">
                  <c:v>6.0067729999999999</c:v>
                </c:pt>
                <c:pt idx="63">
                  <c:v>5.8894739999999999</c:v>
                </c:pt>
                <c:pt idx="64">
                  <c:v>5.7596759999999998</c:v>
                </c:pt>
                <c:pt idx="65">
                  <c:v>6.0067729999999999</c:v>
                </c:pt>
                <c:pt idx="66">
                  <c:v>5.8894739999999999</c:v>
                </c:pt>
                <c:pt idx="67">
                  <c:v>6.0067729999999999</c:v>
                </c:pt>
                <c:pt idx="68">
                  <c:v>6.0067729999999999</c:v>
                </c:pt>
                <c:pt idx="69">
                  <c:v>6.0067729999999999</c:v>
                </c:pt>
                <c:pt idx="70">
                  <c:v>5.8894739999999999</c:v>
                </c:pt>
                <c:pt idx="71">
                  <c:v>5.7596759999999998</c:v>
                </c:pt>
                <c:pt idx="72">
                  <c:v>5.664981</c:v>
                </c:pt>
                <c:pt idx="73">
                  <c:v>5.5577300000000003</c:v>
                </c:pt>
                <c:pt idx="74">
                  <c:v>5.469544</c:v>
                </c:pt>
                <c:pt idx="75">
                  <c:v>5.3833440000000001</c:v>
                </c:pt>
                <c:pt idx="76">
                  <c:v>5.3525919999999996</c:v>
                </c:pt>
                <c:pt idx="77">
                  <c:v>5.2695040000000004</c:v>
                </c:pt>
                <c:pt idx="78">
                  <c:v>5.1996339999999996</c:v>
                </c:pt>
                <c:pt idx="79">
                  <c:v>5.1233880000000003</c:v>
                </c:pt>
                <c:pt idx="80">
                  <c:v>5.0633879999999998</c:v>
                </c:pt>
                <c:pt idx="81">
                  <c:v>5.0171029999999996</c:v>
                </c:pt>
                <c:pt idx="82">
                  <c:v>4.9706780000000004</c:v>
                </c:pt>
                <c:pt idx="83">
                  <c:v>4.9154640000000001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5BC-4970-B77B-D708E170F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5596255"/>
        <c:axId val="1245596671"/>
      </c:lineChart>
      <c:catAx>
        <c:axId val="124559625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5596671"/>
        <c:crosses val="autoZero"/>
        <c:auto val="1"/>
        <c:lblAlgn val="ctr"/>
        <c:lblOffset val="100"/>
        <c:noMultiLvlLbl val="0"/>
      </c:catAx>
      <c:valAx>
        <c:axId val="1245596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55962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Sheet2!$B$2:$B$17</c:f>
              <c:numCache>
                <c:formatCode>General</c:formatCode>
                <c:ptCount val="16"/>
                <c:pt idx="0">
                  <c:v>10.346705999999999</c:v>
                </c:pt>
                <c:pt idx="1">
                  <c:v>9.3060379999999991</c:v>
                </c:pt>
                <c:pt idx="2">
                  <c:v>8.7207989999999995</c:v>
                </c:pt>
                <c:pt idx="3">
                  <c:v>8.2497729999999994</c:v>
                </c:pt>
                <c:pt idx="4">
                  <c:v>7.85968</c:v>
                </c:pt>
                <c:pt idx="5">
                  <c:v>7.5018710000000004</c:v>
                </c:pt>
                <c:pt idx="6">
                  <c:v>7.1969289999999999</c:v>
                </c:pt>
                <c:pt idx="7">
                  <c:v>6.9381649999999997</c:v>
                </c:pt>
                <c:pt idx="8">
                  <c:v>6.7007250000000003</c:v>
                </c:pt>
                <c:pt idx="9">
                  <c:v>6.4847320000000002</c:v>
                </c:pt>
                <c:pt idx="10">
                  <c:v>6.3646289999999999</c:v>
                </c:pt>
                <c:pt idx="11">
                  <c:v>6.1687810000000001</c:v>
                </c:pt>
                <c:pt idx="12">
                  <c:v>6.0067729999999999</c:v>
                </c:pt>
                <c:pt idx="13">
                  <c:v>5.8894739999999999</c:v>
                </c:pt>
                <c:pt idx="14">
                  <c:v>5.7596759999999998</c:v>
                </c:pt>
                <c:pt idx="15">
                  <c:v>5.664981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677-4722-A790-F513EA4D9845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Sheet2!$E$2:$E$17</c:f>
              <c:numCache>
                <c:formatCode>General</c:formatCode>
                <c:ptCount val="16"/>
                <c:pt idx="0">
                  <c:v>10.534499</c:v>
                </c:pt>
                <c:pt idx="1">
                  <c:v>9.5386319999999998</c:v>
                </c:pt>
                <c:pt idx="2">
                  <c:v>8.9107800000000008</c:v>
                </c:pt>
                <c:pt idx="3">
                  <c:v>8.4093689999999999</c:v>
                </c:pt>
                <c:pt idx="4">
                  <c:v>7.9865000000000004</c:v>
                </c:pt>
                <c:pt idx="5">
                  <c:v>7.6154909999999996</c:v>
                </c:pt>
                <c:pt idx="6">
                  <c:v>7.2863490000000004</c:v>
                </c:pt>
                <c:pt idx="7">
                  <c:v>7.0051769999999998</c:v>
                </c:pt>
                <c:pt idx="8">
                  <c:v>6.7520850000000001</c:v>
                </c:pt>
                <c:pt idx="9">
                  <c:v>6.5470579999999998</c:v>
                </c:pt>
                <c:pt idx="10">
                  <c:v>6.3636819999999998</c:v>
                </c:pt>
                <c:pt idx="11">
                  <c:v>6.2238730000000002</c:v>
                </c:pt>
                <c:pt idx="12">
                  <c:v>6.0692190000000004</c:v>
                </c:pt>
                <c:pt idx="13">
                  <c:v>5.9175259999999996</c:v>
                </c:pt>
                <c:pt idx="14">
                  <c:v>5.8086260000000003</c:v>
                </c:pt>
                <c:pt idx="15">
                  <c:v>5.6935560000000001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677-4722-A790-F513EA4D9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6705279"/>
        <c:axId val="1346704031"/>
      </c:lineChart>
      <c:catAx>
        <c:axId val="134670527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6704031"/>
        <c:crosses val="autoZero"/>
        <c:auto val="1"/>
        <c:lblAlgn val="ctr"/>
        <c:lblOffset val="100"/>
        <c:noMultiLvlLbl val="0"/>
      </c:catAx>
      <c:valAx>
        <c:axId val="1346704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67052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Sheet3!$G$3:$G$122</c:f>
              <c:numCache>
                <c:formatCode>General</c:formatCode>
                <c:ptCount val="120"/>
                <c:pt idx="0">
                  <c:v>11.477461999999999</c:v>
                </c:pt>
                <c:pt idx="1">
                  <c:v>10.243162</c:v>
                </c:pt>
                <c:pt idx="2">
                  <c:v>9.4202670000000008</c:v>
                </c:pt>
                <c:pt idx="3">
                  <c:v>8.6973819999999993</c:v>
                </c:pt>
                <c:pt idx="4">
                  <c:v>8.0884219999999996</c:v>
                </c:pt>
                <c:pt idx="5">
                  <c:v>7.5086510000000004</c:v>
                </c:pt>
                <c:pt idx="6">
                  <c:v>7.0412369999999997</c:v>
                </c:pt>
                <c:pt idx="7">
                  <c:v>6.5982589999999997</c:v>
                </c:pt>
                <c:pt idx="8">
                  <c:v>6.1949459999999998</c:v>
                </c:pt>
                <c:pt idx="9">
                  <c:v>5.8677599999999996</c:v>
                </c:pt>
                <c:pt idx="10">
                  <c:v>5.4542529999999996</c:v>
                </c:pt>
                <c:pt idx="11">
                  <c:v>5.2220909999999998</c:v>
                </c:pt>
                <c:pt idx="12">
                  <c:v>4.901389</c:v>
                </c:pt>
                <c:pt idx="13">
                  <c:v>4.6635010000000001</c:v>
                </c:pt>
                <c:pt idx="14">
                  <c:v>4.540565</c:v>
                </c:pt>
                <c:pt idx="15">
                  <c:v>4.3348769999999996</c:v>
                </c:pt>
                <c:pt idx="16">
                  <c:v>4.1410299999999998</c:v>
                </c:pt>
                <c:pt idx="17">
                  <c:v>3.9825620000000002</c:v>
                </c:pt>
                <c:pt idx="18">
                  <c:v>3.8649689999999999</c:v>
                </c:pt>
                <c:pt idx="19">
                  <c:v>3.7848980000000001</c:v>
                </c:pt>
                <c:pt idx="20">
                  <c:v>3.6353810000000002</c:v>
                </c:pt>
                <c:pt idx="21">
                  <c:v>3.53911</c:v>
                </c:pt>
                <c:pt idx="22">
                  <c:v>3.3772129999999998</c:v>
                </c:pt>
                <c:pt idx="23">
                  <c:v>3.352773</c:v>
                </c:pt>
                <c:pt idx="24">
                  <c:v>3.2230300000000001</c:v>
                </c:pt>
                <c:pt idx="25">
                  <c:v>3.0613860000000002</c:v>
                </c:pt>
                <c:pt idx="26">
                  <c:v>2.974332</c:v>
                </c:pt>
                <c:pt idx="27">
                  <c:v>2.9002370000000002</c:v>
                </c:pt>
                <c:pt idx="28">
                  <c:v>2.798476</c:v>
                </c:pt>
                <c:pt idx="29">
                  <c:v>2.7295699999999998</c:v>
                </c:pt>
                <c:pt idx="30">
                  <c:v>2.6275230000000001</c:v>
                </c:pt>
                <c:pt idx="31">
                  <c:v>2.5358360000000002</c:v>
                </c:pt>
                <c:pt idx="32">
                  <c:v>2.4733010000000002</c:v>
                </c:pt>
                <c:pt idx="33">
                  <c:v>2.3862000000000001</c:v>
                </c:pt>
                <c:pt idx="34">
                  <c:v>2.3171279999999999</c:v>
                </c:pt>
                <c:pt idx="35">
                  <c:v>2.2594259999999999</c:v>
                </c:pt>
                <c:pt idx="36">
                  <c:v>2.191773</c:v>
                </c:pt>
                <c:pt idx="37">
                  <c:v>2.123129</c:v>
                </c:pt>
                <c:pt idx="38">
                  <c:v>2.0486930000000001</c:v>
                </c:pt>
                <c:pt idx="39">
                  <c:v>2.0025729999999999</c:v>
                </c:pt>
                <c:pt idx="40">
                  <c:v>1.9404729999999999</c:v>
                </c:pt>
                <c:pt idx="41">
                  <c:v>1.8860760000000001</c:v>
                </c:pt>
                <c:pt idx="42">
                  <c:v>1.835834</c:v>
                </c:pt>
                <c:pt idx="43">
                  <c:v>1.7772520000000001</c:v>
                </c:pt>
                <c:pt idx="44">
                  <c:v>1.7253339999999999</c:v>
                </c:pt>
                <c:pt idx="45">
                  <c:v>1.6814629999999999</c:v>
                </c:pt>
                <c:pt idx="46">
                  <c:v>1.6397219999999999</c:v>
                </c:pt>
                <c:pt idx="47">
                  <c:v>1.5963320000000001</c:v>
                </c:pt>
                <c:pt idx="48">
                  <c:v>1.5549010000000001</c:v>
                </c:pt>
                <c:pt idx="49">
                  <c:v>1.5186409999999999</c:v>
                </c:pt>
                <c:pt idx="50">
                  <c:v>1.4757910000000001</c:v>
                </c:pt>
                <c:pt idx="51">
                  <c:v>1.4367890000000001</c:v>
                </c:pt>
                <c:pt idx="52">
                  <c:v>1.4007689999999999</c:v>
                </c:pt>
                <c:pt idx="53">
                  <c:v>1.368222</c:v>
                </c:pt>
                <c:pt idx="54">
                  <c:v>1.3414010000000001</c:v>
                </c:pt>
                <c:pt idx="55">
                  <c:v>1.310616</c:v>
                </c:pt>
                <c:pt idx="56">
                  <c:v>1.280481</c:v>
                </c:pt>
                <c:pt idx="57">
                  <c:v>1.2560439999999999</c:v>
                </c:pt>
                <c:pt idx="58">
                  <c:v>1.2289859999999999</c:v>
                </c:pt>
                <c:pt idx="59">
                  <c:v>1.2167889999999999</c:v>
                </c:pt>
                <c:pt idx="60">
                  <c:v>1.184456</c:v>
                </c:pt>
                <c:pt idx="61">
                  <c:v>1.158072</c:v>
                </c:pt>
                <c:pt idx="62">
                  <c:v>1.136714</c:v>
                </c:pt>
                <c:pt idx="63">
                  <c:v>1.1147370000000001</c:v>
                </c:pt>
                <c:pt idx="64">
                  <c:v>1.1010690000000001</c:v>
                </c:pt>
                <c:pt idx="65">
                  <c:v>1.081159</c:v>
                </c:pt>
                <c:pt idx="66">
                  <c:v>1.0610440000000001</c:v>
                </c:pt>
                <c:pt idx="67">
                  <c:v>1.0588280000000001</c:v>
                </c:pt>
                <c:pt idx="68">
                  <c:v>1.034818</c:v>
                </c:pt>
                <c:pt idx="69">
                  <c:v>1.0124949999999999</c:v>
                </c:pt>
                <c:pt idx="70">
                  <c:v>0.99731400000000003</c:v>
                </c:pt>
                <c:pt idx="71">
                  <c:v>0.98586799999999997</c:v>
                </c:pt>
                <c:pt idx="72">
                  <c:v>0.97178399999999998</c:v>
                </c:pt>
                <c:pt idx="73">
                  <c:v>0.95851600000000003</c:v>
                </c:pt>
                <c:pt idx="74">
                  <c:v>0.94566899999999998</c:v>
                </c:pt>
                <c:pt idx="75">
                  <c:v>0.93540299999999998</c:v>
                </c:pt>
                <c:pt idx="76">
                  <c:v>0.92749700000000002</c:v>
                </c:pt>
                <c:pt idx="77">
                  <c:v>0.91817099999999996</c:v>
                </c:pt>
                <c:pt idx="78">
                  <c:v>0.90716300000000005</c:v>
                </c:pt>
                <c:pt idx="79">
                  <c:v>0.89168899999999995</c:v>
                </c:pt>
                <c:pt idx="80">
                  <c:v>0.88042100000000001</c:v>
                </c:pt>
                <c:pt idx="81">
                  <c:v>0.87169300000000005</c:v>
                </c:pt>
                <c:pt idx="82">
                  <c:v>0.86656699999999998</c:v>
                </c:pt>
                <c:pt idx="83">
                  <c:v>0.85850700000000002</c:v>
                </c:pt>
                <c:pt idx="84">
                  <c:v>0.84372899999999995</c:v>
                </c:pt>
                <c:pt idx="85">
                  <c:v>0.83417200000000002</c:v>
                </c:pt>
                <c:pt idx="86">
                  <c:v>0.84358699999999998</c:v>
                </c:pt>
                <c:pt idx="87">
                  <c:v>0.82772000000000001</c:v>
                </c:pt>
                <c:pt idx="88">
                  <c:v>0.81028</c:v>
                </c:pt>
                <c:pt idx="89">
                  <c:v>0.80292300000000005</c:v>
                </c:pt>
                <c:pt idx="90">
                  <c:v>0.79376500000000005</c:v>
                </c:pt>
                <c:pt idx="91">
                  <c:v>0.79611699999999996</c:v>
                </c:pt>
                <c:pt idx="92">
                  <c:v>0.78651000000000004</c:v>
                </c:pt>
                <c:pt idx="93">
                  <c:v>0.78176699999999999</c:v>
                </c:pt>
                <c:pt idx="94">
                  <c:v>0.76687700000000003</c:v>
                </c:pt>
                <c:pt idx="95">
                  <c:v>0.76405400000000001</c:v>
                </c:pt>
                <c:pt idx="96">
                  <c:v>0.75553400000000004</c:v>
                </c:pt>
                <c:pt idx="97">
                  <c:v>0.74569099999999999</c:v>
                </c:pt>
                <c:pt idx="98">
                  <c:v>0.74776600000000004</c:v>
                </c:pt>
                <c:pt idx="99">
                  <c:v>0.74424699999999999</c:v>
                </c:pt>
                <c:pt idx="100">
                  <c:v>0.73308700000000004</c:v>
                </c:pt>
                <c:pt idx="101">
                  <c:v>0.72254099999999999</c:v>
                </c:pt>
                <c:pt idx="102">
                  <c:v>0.71889000000000003</c:v>
                </c:pt>
                <c:pt idx="103">
                  <c:v>0.71755100000000005</c:v>
                </c:pt>
                <c:pt idx="104">
                  <c:v>0.70613999999999999</c:v>
                </c:pt>
                <c:pt idx="105">
                  <c:v>0.70094999999999996</c:v>
                </c:pt>
                <c:pt idx="106">
                  <c:v>0.70397600000000005</c:v>
                </c:pt>
                <c:pt idx="107">
                  <c:v>0.70100799999999996</c:v>
                </c:pt>
                <c:pt idx="108">
                  <c:v>0.69382500000000003</c:v>
                </c:pt>
                <c:pt idx="109">
                  <c:v>0.68252500000000005</c:v>
                </c:pt>
                <c:pt idx="110">
                  <c:v>0.67935199999999996</c:v>
                </c:pt>
                <c:pt idx="111">
                  <c:v>0.67225500000000005</c:v>
                </c:pt>
                <c:pt idx="112">
                  <c:v>0.67538500000000001</c:v>
                </c:pt>
                <c:pt idx="113">
                  <c:v>0.67403599999999997</c:v>
                </c:pt>
                <c:pt idx="114">
                  <c:v>0.66656300000000002</c:v>
                </c:pt>
                <c:pt idx="115">
                  <c:v>0.65870099999999998</c:v>
                </c:pt>
                <c:pt idx="116">
                  <c:v>0.65180199999999999</c:v>
                </c:pt>
                <c:pt idx="117">
                  <c:v>0.64833700000000005</c:v>
                </c:pt>
                <c:pt idx="118">
                  <c:v>0.65347200000000005</c:v>
                </c:pt>
                <c:pt idx="119">
                  <c:v>0.64718100000000001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497-4055-9AE2-A6AE22D500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13945135"/>
        <c:axId val="1313941391"/>
      </c:lineChart>
      <c:catAx>
        <c:axId val="131394513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3941391"/>
        <c:crosses val="autoZero"/>
        <c:auto val="1"/>
        <c:lblAlgn val="ctr"/>
        <c:lblOffset val="100"/>
        <c:noMultiLvlLbl val="0"/>
      </c:catAx>
      <c:valAx>
        <c:axId val="131394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39451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Sheet3!$J$3:$J$13</c:f>
              <c:numCache>
                <c:formatCode>General</c:formatCode>
                <c:ptCount val="11"/>
                <c:pt idx="0">
                  <c:v>10.178493</c:v>
                </c:pt>
                <c:pt idx="1">
                  <c:v>9.3791569999999993</c:v>
                </c:pt>
                <c:pt idx="2">
                  <c:v>8.954072</c:v>
                </c:pt>
                <c:pt idx="3">
                  <c:v>8.6084800000000001</c:v>
                </c:pt>
                <c:pt idx="4">
                  <c:v>8.3105840000000004</c:v>
                </c:pt>
                <c:pt idx="5">
                  <c:v>8.0325760000000006</c:v>
                </c:pt>
                <c:pt idx="6">
                  <c:v>7.8227820000000001</c:v>
                </c:pt>
                <c:pt idx="7">
                  <c:v>7.6112909999999996</c:v>
                </c:pt>
                <c:pt idx="8">
                  <c:v>7.3894529999999996</c:v>
                </c:pt>
                <c:pt idx="9">
                  <c:v>7.2223790000000001</c:v>
                </c:pt>
                <c:pt idx="10">
                  <c:v>7.0576540000000003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D5B-404A-995F-ECE2365591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4416767"/>
        <c:axId val="1404414271"/>
      </c:lineChart>
      <c:catAx>
        <c:axId val="140441676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4414271"/>
        <c:crosses val="autoZero"/>
        <c:auto val="1"/>
        <c:lblAlgn val="ctr"/>
        <c:lblOffset val="100"/>
        <c:noMultiLvlLbl val="0"/>
      </c:catAx>
      <c:valAx>
        <c:axId val="14044142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44167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552449</xdr:colOff>
      <xdr:row>8</xdr:row>
      <xdr:rowOff>127908</xdr:rowOff>
    </xdr:from>
    <xdr:to>
      <xdr:col>10</xdr:col>
      <xdr:colOff>114298</xdr:colOff>
      <xdr:row>23</xdr:row>
      <xdr:rowOff>95251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F1DF43C-C86B-44EF-9EBD-691CF0DDD1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476251</xdr:colOff>
      <xdr:row>1</xdr:row>
      <xdr:rowOff>138792</xdr:rowOff>
    </xdr:from>
    <xdr:to>
      <xdr:col>19</xdr:col>
      <xdr:colOff>476251</xdr:colOff>
      <xdr:row>16</xdr:row>
      <xdr:rowOff>106135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9542F85-3DDB-4E8C-AD9C-4A8DC874BB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345621</xdr:colOff>
      <xdr:row>4</xdr:row>
      <xdr:rowOff>176894</xdr:rowOff>
    </xdr:from>
    <xdr:to>
      <xdr:col>17</xdr:col>
      <xdr:colOff>345621</xdr:colOff>
      <xdr:row>19</xdr:row>
      <xdr:rowOff>144237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6A78BF8-B4AC-4EF3-AA40-3E68BAA4FB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40821</xdr:colOff>
      <xdr:row>15</xdr:row>
      <xdr:rowOff>68036</xdr:rowOff>
    </xdr:from>
    <xdr:to>
      <xdr:col>17</xdr:col>
      <xdr:colOff>40821</xdr:colOff>
      <xdr:row>30</xdr:row>
      <xdr:rowOff>35379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A4E9968-0D0A-4807-878D-7D7E39C90A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419D8-0CC7-4375-983E-B9310DD8FE96}">
  <dimension ref="A1:L27"/>
  <sheetViews>
    <sheetView workbookViewId="0">
      <selection activeCell="B8" sqref="B8"/>
    </sheetView>
  </sheetViews>
  <sheetFormatPr defaultRowHeight="14.6" x14ac:dyDescent="0.4"/>
  <cols>
    <col min="1" max="1" width="22.07421875" customWidth="1"/>
    <col min="2" max="8" width="18.3046875" style="1" customWidth="1"/>
    <col min="9" max="9" width="18.61328125" style="3" customWidth="1"/>
  </cols>
  <sheetData>
    <row r="1" spans="1:12" x14ac:dyDescent="0.4">
      <c r="B1" s="1" t="s">
        <v>22</v>
      </c>
      <c r="C1" s="1" t="s">
        <v>23</v>
      </c>
      <c r="D1" s="8" t="s">
        <v>28</v>
      </c>
      <c r="E1" s="1" t="s">
        <v>24</v>
      </c>
      <c r="F1" s="1" t="s">
        <v>25</v>
      </c>
      <c r="G1" s="1" t="s">
        <v>26</v>
      </c>
      <c r="H1" s="1" t="s">
        <v>27</v>
      </c>
      <c r="I1" s="3" t="s">
        <v>15</v>
      </c>
      <c r="J1" s="2"/>
      <c r="L1" t="s">
        <v>11</v>
      </c>
    </row>
    <row r="3" spans="1:12" x14ac:dyDescent="0.4">
      <c r="A3" t="s">
        <v>0</v>
      </c>
      <c r="B3" s="1">
        <v>720</v>
      </c>
      <c r="C3" s="1">
        <v>720</v>
      </c>
      <c r="D3" s="1">
        <v>720</v>
      </c>
      <c r="E3" s="1">
        <v>720</v>
      </c>
      <c r="F3" s="1">
        <v>720</v>
      </c>
      <c r="G3" s="1">
        <v>720</v>
      </c>
      <c r="H3" s="1">
        <v>720</v>
      </c>
      <c r="I3" s="4">
        <v>720</v>
      </c>
    </row>
    <row r="4" spans="1:12" x14ac:dyDescent="0.4">
      <c r="A4" t="s">
        <v>1</v>
      </c>
      <c r="B4" s="1">
        <v>1440</v>
      </c>
      <c r="C4" s="1">
        <v>1440</v>
      </c>
      <c r="D4" s="1">
        <v>1440</v>
      </c>
      <c r="E4" s="1">
        <v>1440</v>
      </c>
      <c r="F4" s="1">
        <v>1440</v>
      </c>
      <c r="G4" s="1">
        <v>1440</v>
      </c>
      <c r="H4" s="1">
        <v>1440</v>
      </c>
      <c r="I4" s="4">
        <v>1440</v>
      </c>
    </row>
    <row r="5" spans="1:12" x14ac:dyDescent="0.4">
      <c r="A5" t="s">
        <v>7</v>
      </c>
      <c r="B5" s="5">
        <v>2</v>
      </c>
      <c r="C5" s="5">
        <v>3</v>
      </c>
      <c r="D5" s="5">
        <v>3</v>
      </c>
      <c r="E5" s="5">
        <v>6</v>
      </c>
      <c r="F5" s="5">
        <v>12</v>
      </c>
      <c r="G5" s="5">
        <v>4</v>
      </c>
      <c r="H5" s="1">
        <v>8</v>
      </c>
      <c r="I5" s="4">
        <v>24</v>
      </c>
    </row>
    <row r="6" spans="1:12" x14ac:dyDescent="0.4">
      <c r="A6" t="s">
        <v>8</v>
      </c>
      <c r="B6" s="1">
        <v>3</v>
      </c>
      <c r="C6" s="1">
        <v>3</v>
      </c>
      <c r="D6" s="1">
        <v>3</v>
      </c>
      <c r="E6" s="1">
        <v>3</v>
      </c>
      <c r="F6" s="1">
        <v>3</v>
      </c>
      <c r="G6" s="1">
        <v>3</v>
      </c>
      <c r="H6" s="1">
        <v>3</v>
      </c>
      <c r="I6" s="4">
        <v>24</v>
      </c>
    </row>
    <row r="7" spans="1:12" x14ac:dyDescent="0.4">
      <c r="A7" t="s">
        <v>9</v>
      </c>
      <c r="B7" s="1">
        <v>4</v>
      </c>
      <c r="C7" s="1">
        <v>4</v>
      </c>
      <c r="D7" s="1">
        <v>4</v>
      </c>
      <c r="E7" s="1">
        <v>4</v>
      </c>
      <c r="F7" s="1">
        <v>4</v>
      </c>
      <c r="G7" s="1">
        <v>4</v>
      </c>
      <c r="H7" s="1">
        <v>4</v>
      </c>
      <c r="I7" s="4">
        <v>4</v>
      </c>
    </row>
    <row r="8" spans="1:12" x14ac:dyDescent="0.4">
      <c r="A8" t="s">
        <v>2</v>
      </c>
      <c r="B8" s="5">
        <v>16</v>
      </c>
      <c r="C8" s="5">
        <v>16</v>
      </c>
      <c r="D8" s="5">
        <v>16</v>
      </c>
      <c r="E8" s="5">
        <v>16</v>
      </c>
      <c r="F8" s="5">
        <v>16</v>
      </c>
      <c r="G8" s="5">
        <v>16</v>
      </c>
      <c r="H8" s="5">
        <v>20</v>
      </c>
      <c r="I8" s="4">
        <v>16</v>
      </c>
    </row>
    <row r="9" spans="1:12" x14ac:dyDescent="0.4">
      <c r="A9" t="s">
        <v>3</v>
      </c>
      <c r="B9" s="5">
        <v>512</v>
      </c>
      <c r="C9" s="5">
        <v>256</v>
      </c>
      <c r="D9" s="7">
        <v>512</v>
      </c>
      <c r="E9" s="7">
        <v>64</v>
      </c>
      <c r="F9" s="5">
        <v>16</v>
      </c>
      <c r="G9" s="5">
        <v>128</v>
      </c>
      <c r="H9" s="5">
        <v>64</v>
      </c>
      <c r="I9" s="5">
        <v>4</v>
      </c>
    </row>
    <row r="10" spans="1:12" x14ac:dyDescent="0.4">
      <c r="I10" s="4"/>
    </row>
    <row r="11" spans="1:12" x14ac:dyDescent="0.4">
      <c r="A11" t="s">
        <v>4</v>
      </c>
      <c r="B11" s="1">
        <f t="shared" ref="B11:I11" si="0">B3/B8</f>
        <v>45</v>
      </c>
      <c r="C11" s="1">
        <f t="shared" si="0"/>
        <v>45</v>
      </c>
      <c r="D11" s="1">
        <f t="shared" si="0"/>
        <v>45</v>
      </c>
      <c r="E11" s="1">
        <f t="shared" si="0"/>
        <v>45</v>
      </c>
      <c r="F11" s="1">
        <f t="shared" si="0"/>
        <v>45</v>
      </c>
      <c r="G11" s="1">
        <f t="shared" si="0"/>
        <v>45</v>
      </c>
      <c r="H11" s="1">
        <f t="shared" si="0"/>
        <v>36</v>
      </c>
      <c r="I11" s="4">
        <f t="shared" si="0"/>
        <v>45</v>
      </c>
    </row>
    <row r="12" spans="1:12" x14ac:dyDescent="0.4">
      <c r="A12" t="s">
        <v>5</v>
      </c>
      <c r="B12" s="1">
        <f t="shared" ref="B12:I12" si="1">B4/B8</f>
        <v>90</v>
      </c>
      <c r="C12" s="1">
        <f t="shared" si="1"/>
        <v>90</v>
      </c>
      <c r="D12" s="1">
        <f t="shared" si="1"/>
        <v>90</v>
      </c>
      <c r="E12" s="1">
        <f t="shared" si="1"/>
        <v>90</v>
      </c>
      <c r="F12" s="1">
        <f t="shared" si="1"/>
        <v>90</v>
      </c>
      <c r="G12" s="1">
        <f t="shared" si="1"/>
        <v>90</v>
      </c>
      <c r="H12" s="1">
        <f t="shared" si="1"/>
        <v>72</v>
      </c>
      <c r="I12" s="4">
        <f t="shared" si="1"/>
        <v>90</v>
      </c>
    </row>
    <row r="13" spans="1:12" x14ac:dyDescent="0.4">
      <c r="A13" t="s">
        <v>10</v>
      </c>
      <c r="B13" s="6">
        <f t="shared" ref="B13:I13" si="2">B8*B8*B7</f>
        <v>1024</v>
      </c>
      <c r="C13" s="6">
        <f t="shared" si="2"/>
        <v>1024</v>
      </c>
      <c r="D13" s="6">
        <f t="shared" si="2"/>
        <v>1024</v>
      </c>
      <c r="E13" s="6">
        <f t="shared" si="2"/>
        <v>1024</v>
      </c>
      <c r="F13" s="6">
        <f t="shared" si="2"/>
        <v>1024</v>
      </c>
      <c r="G13" s="6">
        <f t="shared" si="2"/>
        <v>1024</v>
      </c>
      <c r="H13" s="1">
        <f t="shared" si="2"/>
        <v>1600</v>
      </c>
      <c r="I13" s="4">
        <f t="shared" si="2"/>
        <v>1024</v>
      </c>
    </row>
    <row r="14" spans="1:12" x14ac:dyDescent="0.4">
      <c r="A14" t="s">
        <v>14</v>
      </c>
      <c r="B14" s="5">
        <f t="shared" ref="B14:I14" si="3">B13/B9</f>
        <v>2</v>
      </c>
      <c r="C14" s="5">
        <f t="shared" si="3"/>
        <v>4</v>
      </c>
      <c r="D14" s="10">
        <f t="shared" si="3"/>
        <v>2</v>
      </c>
      <c r="E14" s="5">
        <f t="shared" si="3"/>
        <v>16</v>
      </c>
      <c r="F14" s="5">
        <f t="shared" si="3"/>
        <v>64</v>
      </c>
      <c r="G14" s="5">
        <f t="shared" si="3"/>
        <v>8</v>
      </c>
      <c r="H14" s="5">
        <f t="shared" si="3"/>
        <v>25</v>
      </c>
      <c r="I14" s="5">
        <f t="shared" si="3"/>
        <v>256</v>
      </c>
    </row>
    <row r="15" spans="1:12" x14ac:dyDescent="0.4">
      <c r="A15" t="s">
        <v>6</v>
      </c>
      <c r="B15" s="1">
        <f t="shared" ref="B15:I15" si="4">B11*B12</f>
        <v>4050</v>
      </c>
      <c r="C15" s="1">
        <f t="shared" si="4"/>
        <v>4050</v>
      </c>
      <c r="D15" s="1">
        <f t="shared" si="4"/>
        <v>4050</v>
      </c>
      <c r="E15" s="1">
        <f t="shared" si="4"/>
        <v>4050</v>
      </c>
      <c r="F15" s="1">
        <f t="shared" si="4"/>
        <v>4050</v>
      </c>
      <c r="G15" s="1">
        <f t="shared" si="4"/>
        <v>4050</v>
      </c>
      <c r="H15" s="1">
        <f t="shared" si="4"/>
        <v>2592</v>
      </c>
      <c r="I15" s="4">
        <f t="shared" si="4"/>
        <v>4050</v>
      </c>
    </row>
    <row r="16" spans="1:12" x14ac:dyDescent="0.4">
      <c r="A16" s="1"/>
      <c r="I16" s="4"/>
    </row>
    <row r="17" spans="1:9" x14ac:dyDescent="0.4">
      <c r="A17" s="9" t="s">
        <v>12</v>
      </c>
      <c r="B17" s="5">
        <f t="shared" ref="B17:I17" si="5">B11*B12*B5</f>
        <v>8100</v>
      </c>
      <c r="C17" s="5">
        <f t="shared" si="5"/>
        <v>12150</v>
      </c>
      <c r="D17" s="5">
        <f t="shared" si="5"/>
        <v>12150</v>
      </c>
      <c r="E17" s="5">
        <f t="shared" si="5"/>
        <v>24300</v>
      </c>
      <c r="F17" s="5">
        <f t="shared" si="5"/>
        <v>48600</v>
      </c>
      <c r="G17" s="5">
        <f t="shared" si="5"/>
        <v>16200</v>
      </c>
      <c r="H17" s="5">
        <f t="shared" si="5"/>
        <v>20736</v>
      </c>
      <c r="I17" s="5">
        <f t="shared" si="5"/>
        <v>97200</v>
      </c>
    </row>
    <row r="18" spans="1:9" x14ac:dyDescent="0.4">
      <c r="A18" t="s">
        <v>13</v>
      </c>
      <c r="B18" s="1">
        <f t="shared" ref="B18:I18" si="6">B17*B17*B9</f>
        <v>33592320000</v>
      </c>
      <c r="C18" s="1">
        <f t="shared" si="6"/>
        <v>37791360000</v>
      </c>
      <c r="D18" s="1">
        <f t="shared" si="6"/>
        <v>75582720000</v>
      </c>
      <c r="E18" s="1">
        <f t="shared" si="6"/>
        <v>37791360000</v>
      </c>
      <c r="F18" s="1">
        <f t="shared" si="6"/>
        <v>37791360000</v>
      </c>
      <c r="G18" s="1">
        <f t="shared" si="6"/>
        <v>33592320000</v>
      </c>
      <c r="H18" s="1">
        <f t="shared" si="6"/>
        <v>27518828544</v>
      </c>
      <c r="I18" s="4">
        <f t="shared" si="6"/>
        <v>37791360000</v>
      </c>
    </row>
    <row r="20" spans="1:9" x14ac:dyDescent="0.4">
      <c r="A20" s="9" t="s">
        <v>16</v>
      </c>
      <c r="B20" s="1">
        <f t="shared" ref="B20:I20" si="7">B11*B12</f>
        <v>4050</v>
      </c>
      <c r="C20" s="1">
        <f t="shared" si="7"/>
        <v>4050</v>
      </c>
      <c r="D20" s="1">
        <f t="shared" si="7"/>
        <v>4050</v>
      </c>
      <c r="E20" s="1">
        <f t="shared" si="7"/>
        <v>4050</v>
      </c>
      <c r="F20" s="1">
        <f t="shared" si="7"/>
        <v>4050</v>
      </c>
      <c r="G20" s="1">
        <f t="shared" si="7"/>
        <v>4050</v>
      </c>
      <c r="H20" s="1">
        <f t="shared" si="7"/>
        <v>2592</v>
      </c>
      <c r="I20" s="1">
        <f t="shared" si="7"/>
        <v>4050</v>
      </c>
    </row>
    <row r="21" spans="1:9" x14ac:dyDescent="0.4">
      <c r="A21" t="s">
        <v>17</v>
      </c>
      <c r="B21" s="1">
        <f t="shared" ref="B21:I21" si="8">B20*B20*B9*B5</f>
        <v>16796160000</v>
      </c>
      <c r="C21" s="1">
        <f t="shared" si="8"/>
        <v>12597120000</v>
      </c>
      <c r="D21" s="1">
        <f t="shared" si="8"/>
        <v>25194240000</v>
      </c>
      <c r="E21" s="1">
        <f t="shared" si="8"/>
        <v>6298560000</v>
      </c>
      <c r="F21" s="1">
        <f t="shared" si="8"/>
        <v>3149280000</v>
      </c>
      <c r="G21" s="1">
        <f t="shared" si="8"/>
        <v>8398080000</v>
      </c>
      <c r="H21" s="1">
        <f t="shared" si="8"/>
        <v>3439853568</v>
      </c>
      <c r="I21" s="8">
        <f t="shared" si="8"/>
        <v>1574640000</v>
      </c>
    </row>
    <row r="23" spans="1:9" x14ac:dyDescent="0.4">
      <c r="A23" s="9" t="s">
        <v>18</v>
      </c>
      <c r="B23" s="1">
        <f t="shared" ref="B23:H23" si="9">B5*B11</f>
        <v>90</v>
      </c>
      <c r="C23" s="1">
        <f t="shared" si="9"/>
        <v>135</v>
      </c>
      <c r="D23" s="1">
        <f t="shared" si="9"/>
        <v>135</v>
      </c>
      <c r="E23" s="1">
        <f t="shared" si="9"/>
        <v>270</v>
      </c>
      <c r="F23" s="1">
        <f t="shared" si="9"/>
        <v>540</v>
      </c>
      <c r="G23" s="1">
        <f t="shared" si="9"/>
        <v>180</v>
      </c>
      <c r="H23" s="1">
        <f t="shared" si="9"/>
        <v>288</v>
      </c>
    </row>
    <row r="24" spans="1:9" x14ac:dyDescent="0.4">
      <c r="A24" t="s">
        <v>19</v>
      </c>
      <c r="B24" s="1">
        <f t="shared" ref="B24:H24" si="10">B23*B23*B9*B12</f>
        <v>373248000</v>
      </c>
      <c r="C24" s="1">
        <f t="shared" si="10"/>
        <v>419904000</v>
      </c>
      <c r="D24" s="1">
        <f t="shared" si="10"/>
        <v>839808000</v>
      </c>
      <c r="E24" s="1">
        <f t="shared" si="10"/>
        <v>419904000</v>
      </c>
      <c r="F24" s="1">
        <f t="shared" si="10"/>
        <v>419904000</v>
      </c>
      <c r="G24" s="1">
        <f t="shared" si="10"/>
        <v>373248000</v>
      </c>
      <c r="H24" s="1">
        <f t="shared" si="10"/>
        <v>382205952</v>
      </c>
    </row>
    <row r="26" spans="1:9" x14ac:dyDescent="0.4">
      <c r="A26" s="9" t="s">
        <v>20</v>
      </c>
      <c r="B26" s="1">
        <f t="shared" ref="B26:H26" si="11">B5*B12</f>
        <v>180</v>
      </c>
      <c r="C26" s="1">
        <f t="shared" si="11"/>
        <v>270</v>
      </c>
      <c r="D26" s="1">
        <f t="shared" si="11"/>
        <v>270</v>
      </c>
      <c r="E26" s="1">
        <f t="shared" si="11"/>
        <v>540</v>
      </c>
      <c r="F26" s="1">
        <f t="shared" si="11"/>
        <v>1080</v>
      </c>
      <c r="G26" s="1">
        <f t="shared" si="11"/>
        <v>360</v>
      </c>
      <c r="H26" s="1">
        <f t="shared" si="11"/>
        <v>576</v>
      </c>
    </row>
    <row r="27" spans="1:9" x14ac:dyDescent="0.4">
      <c r="A27" t="s">
        <v>21</v>
      </c>
      <c r="B27" s="1">
        <f t="shared" ref="B27:H27" si="12">B26*B26*B9*B11</f>
        <v>746496000</v>
      </c>
      <c r="C27" s="1">
        <f t="shared" si="12"/>
        <v>839808000</v>
      </c>
      <c r="D27" s="8">
        <f t="shared" si="12"/>
        <v>1679616000</v>
      </c>
      <c r="E27" s="1">
        <f t="shared" si="12"/>
        <v>839808000</v>
      </c>
      <c r="F27" s="1">
        <f t="shared" si="12"/>
        <v>839808000</v>
      </c>
      <c r="G27" s="1">
        <f t="shared" si="12"/>
        <v>746496000</v>
      </c>
      <c r="H27" s="1">
        <f t="shared" si="12"/>
        <v>764411904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DD36A-BC03-40BA-80D8-4DB8E9CC41CB}">
  <dimension ref="A1:H85"/>
  <sheetViews>
    <sheetView workbookViewId="0">
      <selection activeCell="B2" sqref="B2"/>
    </sheetView>
  </sheetViews>
  <sheetFormatPr defaultRowHeight="14.6" x14ac:dyDescent="0.4"/>
  <cols>
    <col min="1" max="1" width="22.921875" customWidth="1"/>
    <col min="2" max="2" width="11.69140625" customWidth="1"/>
    <col min="3" max="3" width="4.3046875" customWidth="1"/>
    <col min="4" max="4" width="25.84375" customWidth="1"/>
    <col min="5" max="5" width="11.3828125" customWidth="1"/>
    <col min="6" max="6" width="5.3046875" customWidth="1"/>
    <col min="7" max="7" width="24.61328125" customWidth="1"/>
    <col min="8" max="8" width="13.07421875" customWidth="1"/>
  </cols>
  <sheetData>
    <row r="1" spans="1:8" s="11" customFormat="1" ht="37.299999999999997" customHeight="1" x14ac:dyDescent="0.4">
      <c r="A1" s="11" t="s">
        <v>56</v>
      </c>
      <c r="D1" s="11" t="s">
        <v>57</v>
      </c>
      <c r="G1" s="11" t="s">
        <v>74</v>
      </c>
    </row>
    <row r="2" spans="1:8" x14ac:dyDescent="0.4">
      <c r="A2" t="s">
        <v>29</v>
      </c>
      <c r="B2">
        <f>VALUE(TRIM(RIGHT(A2,LEN(A2)-FIND("@",SUBSTITUTE(A2," ","@",LEN(A2)-LEN(SUBSTITUTE(A2," ","")))))))</f>
        <v>10.346705999999999</v>
      </c>
      <c r="D2" t="s">
        <v>73</v>
      </c>
      <c r="E2">
        <f>VALUE(TRIM(RIGHT(D2,LEN(D2)-FIND("@",SUBSTITUTE(D2," ","@",LEN(D2)-LEN(SUBSTITUTE(D2," ","")))))))</f>
        <v>10.534499</v>
      </c>
      <c r="G2" t="s">
        <v>75</v>
      </c>
      <c r="H2">
        <f>VALUE(TRIM(RIGHT(G2,LEN(G2)-FIND("@",SUBSTITUTE(G2," ","@",LEN(G2)-LEN(SUBSTITUTE(G2," ","")))))))</f>
        <v>11.471894000000001</v>
      </c>
    </row>
    <row r="3" spans="1:8" x14ac:dyDescent="0.4">
      <c r="A3" t="s">
        <v>30</v>
      </c>
      <c r="B3">
        <f t="shared" ref="B3:B66" si="0">VALUE(TRIM(RIGHT(A3,LEN(A3)-FIND("@",SUBSTITUTE(A3," ","@",LEN(A3)-LEN(SUBSTITUTE(A3," ","")))))))</f>
        <v>9.3060379999999991</v>
      </c>
      <c r="D3" t="s">
        <v>58</v>
      </c>
      <c r="E3">
        <f t="shared" ref="E3" si="1">VALUE(TRIM(RIGHT(D3,LEN(D3)-FIND("@",SUBSTITUTE(D3," ","@",LEN(D3)-LEN(SUBSTITUTE(D3," ","")))))))</f>
        <v>9.5386319999999998</v>
      </c>
      <c r="G3" t="s">
        <v>76</v>
      </c>
      <c r="H3">
        <f t="shared" ref="H3:H4" si="2">VALUE(TRIM(RIGHT(G3,LEN(G3)-FIND("@",SUBSTITUTE(G3," ","@",LEN(G3)-LEN(SUBSTITUTE(G3," ","")))))))</f>
        <v>11.396761</v>
      </c>
    </row>
    <row r="4" spans="1:8" x14ac:dyDescent="0.4">
      <c r="A4" t="s">
        <v>31</v>
      </c>
      <c r="B4">
        <f t="shared" si="0"/>
        <v>8.7207989999999995</v>
      </c>
      <c r="D4" t="s">
        <v>59</v>
      </c>
      <c r="E4">
        <f t="shared" ref="E4:E17" si="3">VALUE(TRIM(RIGHT(D4,LEN(D4)-FIND("@",SUBSTITUTE(D4," ","@",LEN(D4)-LEN(SUBSTITUTE(D4," ","")))))))</f>
        <v>8.9107800000000008</v>
      </c>
      <c r="G4" t="s">
        <v>77</v>
      </c>
      <c r="H4">
        <f t="shared" si="2"/>
        <v>11.330163000000001</v>
      </c>
    </row>
    <row r="5" spans="1:8" x14ac:dyDescent="0.4">
      <c r="A5" t="s">
        <v>32</v>
      </c>
      <c r="B5">
        <f t="shared" si="0"/>
        <v>8.2497729999999994</v>
      </c>
      <c r="D5" t="s">
        <v>60</v>
      </c>
      <c r="E5">
        <f t="shared" si="3"/>
        <v>8.4093689999999999</v>
      </c>
    </row>
    <row r="6" spans="1:8" x14ac:dyDescent="0.4">
      <c r="A6" t="s">
        <v>33</v>
      </c>
      <c r="B6">
        <f t="shared" si="0"/>
        <v>7.85968</v>
      </c>
      <c r="D6" t="s">
        <v>61</v>
      </c>
      <c r="E6">
        <f t="shared" si="3"/>
        <v>7.9865000000000004</v>
      </c>
    </row>
    <row r="7" spans="1:8" x14ac:dyDescent="0.4">
      <c r="A7" t="s">
        <v>34</v>
      </c>
      <c r="B7">
        <f t="shared" si="0"/>
        <v>7.5018710000000004</v>
      </c>
      <c r="D7" t="s">
        <v>62</v>
      </c>
      <c r="E7">
        <f t="shared" si="3"/>
        <v>7.6154909999999996</v>
      </c>
    </row>
    <row r="8" spans="1:8" x14ac:dyDescent="0.4">
      <c r="A8" t="s">
        <v>35</v>
      </c>
      <c r="B8">
        <f t="shared" si="0"/>
        <v>7.1969289999999999</v>
      </c>
      <c r="D8" t="s">
        <v>63</v>
      </c>
      <c r="E8">
        <f t="shared" si="3"/>
        <v>7.2863490000000004</v>
      </c>
    </row>
    <row r="9" spans="1:8" x14ac:dyDescent="0.4">
      <c r="A9" t="s">
        <v>36</v>
      </c>
      <c r="B9">
        <f t="shared" si="0"/>
        <v>6.9381649999999997</v>
      </c>
      <c r="D9" t="s">
        <v>64</v>
      </c>
      <c r="E9">
        <f t="shared" si="3"/>
        <v>7.0051769999999998</v>
      </c>
    </row>
    <row r="10" spans="1:8" x14ac:dyDescent="0.4">
      <c r="A10" t="s">
        <v>37</v>
      </c>
      <c r="B10">
        <f t="shared" si="0"/>
        <v>6.7007250000000003</v>
      </c>
      <c r="D10" t="s">
        <v>65</v>
      </c>
      <c r="E10">
        <f t="shared" si="3"/>
        <v>6.7520850000000001</v>
      </c>
    </row>
    <row r="11" spans="1:8" x14ac:dyDescent="0.4">
      <c r="A11" t="s">
        <v>38</v>
      </c>
      <c r="B11">
        <f t="shared" si="0"/>
        <v>6.4847320000000002</v>
      </c>
      <c r="D11" t="s">
        <v>66</v>
      </c>
      <c r="E11">
        <f t="shared" si="3"/>
        <v>6.5470579999999998</v>
      </c>
    </row>
    <row r="12" spans="1:8" x14ac:dyDescent="0.4">
      <c r="A12" t="s">
        <v>39</v>
      </c>
      <c r="B12">
        <f t="shared" si="0"/>
        <v>6.3646289999999999</v>
      </c>
      <c r="D12" t="s">
        <v>67</v>
      </c>
      <c r="E12">
        <f t="shared" si="3"/>
        <v>6.3636819999999998</v>
      </c>
    </row>
    <row r="13" spans="1:8" x14ac:dyDescent="0.4">
      <c r="A13" t="s">
        <v>40</v>
      </c>
      <c r="B13">
        <f t="shared" si="0"/>
        <v>6.1687810000000001</v>
      </c>
      <c r="D13" t="s">
        <v>68</v>
      </c>
      <c r="E13">
        <f t="shared" si="3"/>
        <v>6.2238730000000002</v>
      </c>
    </row>
    <row r="14" spans="1:8" x14ac:dyDescent="0.4">
      <c r="A14" t="s">
        <v>41</v>
      </c>
      <c r="B14">
        <f t="shared" si="0"/>
        <v>6.0067729999999999</v>
      </c>
      <c r="D14" t="s">
        <v>69</v>
      </c>
      <c r="E14">
        <f t="shared" si="3"/>
        <v>6.0692190000000004</v>
      </c>
    </row>
    <row r="15" spans="1:8" x14ac:dyDescent="0.4">
      <c r="A15" t="s">
        <v>42</v>
      </c>
      <c r="B15">
        <f t="shared" si="0"/>
        <v>5.8894739999999999</v>
      </c>
      <c r="D15" t="s">
        <v>70</v>
      </c>
      <c r="E15">
        <f t="shared" si="3"/>
        <v>5.9175259999999996</v>
      </c>
    </row>
    <row r="16" spans="1:8" x14ac:dyDescent="0.4">
      <c r="A16" t="s">
        <v>43</v>
      </c>
      <c r="B16">
        <f t="shared" si="0"/>
        <v>5.7596759999999998</v>
      </c>
      <c r="D16" t="s">
        <v>71</v>
      </c>
      <c r="E16">
        <f t="shared" si="3"/>
        <v>5.8086260000000003</v>
      </c>
    </row>
    <row r="17" spans="1:5" x14ac:dyDescent="0.4">
      <c r="A17" t="s">
        <v>44</v>
      </c>
      <c r="B17">
        <f t="shared" si="0"/>
        <v>5.664981</v>
      </c>
      <c r="D17" t="s">
        <v>72</v>
      </c>
      <c r="E17">
        <f t="shared" si="3"/>
        <v>5.6935560000000001</v>
      </c>
    </row>
    <row r="18" spans="1:5" x14ac:dyDescent="0.4">
      <c r="A18" t="s">
        <v>45</v>
      </c>
      <c r="B18">
        <f t="shared" si="0"/>
        <v>5.5577300000000003</v>
      </c>
    </row>
    <row r="19" spans="1:5" x14ac:dyDescent="0.4">
      <c r="A19" t="s">
        <v>46</v>
      </c>
      <c r="B19">
        <f t="shared" si="0"/>
        <v>5.469544</v>
      </c>
    </row>
    <row r="20" spans="1:5" x14ac:dyDescent="0.4">
      <c r="A20" t="s">
        <v>47</v>
      </c>
      <c r="B20">
        <f t="shared" si="0"/>
        <v>5.3833440000000001</v>
      </c>
    </row>
    <row r="21" spans="1:5" x14ac:dyDescent="0.4">
      <c r="A21" t="s">
        <v>48</v>
      </c>
      <c r="B21">
        <f t="shared" si="0"/>
        <v>5.3525919999999996</v>
      </c>
    </row>
    <row r="22" spans="1:5" x14ac:dyDescent="0.4">
      <c r="A22" t="s">
        <v>49</v>
      </c>
      <c r="B22">
        <f t="shared" si="0"/>
        <v>5.2695040000000004</v>
      </c>
    </row>
    <row r="23" spans="1:5" x14ac:dyDescent="0.4">
      <c r="A23" t="s">
        <v>41</v>
      </c>
      <c r="B23">
        <f t="shared" si="0"/>
        <v>6.0067729999999999</v>
      </c>
    </row>
    <row r="24" spans="1:5" x14ac:dyDescent="0.4">
      <c r="A24" t="s">
        <v>42</v>
      </c>
      <c r="B24">
        <f t="shared" si="0"/>
        <v>5.8894739999999999</v>
      </c>
    </row>
    <row r="25" spans="1:5" x14ac:dyDescent="0.4">
      <c r="A25" t="s">
        <v>43</v>
      </c>
      <c r="B25">
        <f t="shared" si="0"/>
        <v>5.7596759999999998</v>
      </c>
    </row>
    <row r="26" spans="1:5" x14ac:dyDescent="0.4">
      <c r="A26" t="s">
        <v>44</v>
      </c>
      <c r="B26">
        <f t="shared" si="0"/>
        <v>5.664981</v>
      </c>
    </row>
    <row r="27" spans="1:5" x14ac:dyDescent="0.4">
      <c r="A27" t="s">
        <v>45</v>
      </c>
      <c r="B27">
        <f t="shared" si="0"/>
        <v>5.5577300000000003</v>
      </c>
    </row>
    <row r="28" spans="1:5" x14ac:dyDescent="0.4">
      <c r="A28" t="s">
        <v>46</v>
      </c>
      <c r="B28">
        <f t="shared" si="0"/>
        <v>5.469544</v>
      </c>
    </row>
    <row r="29" spans="1:5" x14ac:dyDescent="0.4">
      <c r="A29" t="s">
        <v>47</v>
      </c>
      <c r="B29">
        <f t="shared" si="0"/>
        <v>5.3833440000000001</v>
      </c>
    </row>
    <row r="30" spans="1:5" x14ac:dyDescent="0.4">
      <c r="A30" t="s">
        <v>48</v>
      </c>
      <c r="B30">
        <f t="shared" si="0"/>
        <v>5.3525919999999996</v>
      </c>
    </row>
    <row r="31" spans="1:5" x14ac:dyDescent="0.4">
      <c r="A31" t="s">
        <v>41</v>
      </c>
      <c r="B31">
        <f t="shared" si="0"/>
        <v>6.0067729999999999</v>
      </c>
    </row>
    <row r="32" spans="1:5" x14ac:dyDescent="0.4">
      <c r="A32" t="s">
        <v>42</v>
      </c>
      <c r="B32">
        <f t="shared" si="0"/>
        <v>5.8894739999999999</v>
      </c>
    </row>
    <row r="33" spans="1:2" x14ac:dyDescent="0.4">
      <c r="A33" t="s">
        <v>43</v>
      </c>
      <c r="B33">
        <f t="shared" si="0"/>
        <v>5.7596759999999998</v>
      </c>
    </row>
    <row r="34" spans="1:2" x14ac:dyDescent="0.4">
      <c r="A34" t="s">
        <v>44</v>
      </c>
      <c r="B34">
        <f t="shared" si="0"/>
        <v>5.664981</v>
      </c>
    </row>
    <row r="35" spans="1:2" x14ac:dyDescent="0.4">
      <c r="A35" t="s">
        <v>45</v>
      </c>
      <c r="B35">
        <f t="shared" si="0"/>
        <v>5.5577300000000003</v>
      </c>
    </row>
    <row r="36" spans="1:2" x14ac:dyDescent="0.4">
      <c r="A36" t="s">
        <v>46</v>
      </c>
      <c r="B36">
        <f t="shared" si="0"/>
        <v>5.469544</v>
      </c>
    </row>
    <row r="37" spans="1:2" x14ac:dyDescent="0.4">
      <c r="A37" t="s">
        <v>47</v>
      </c>
      <c r="B37">
        <f t="shared" si="0"/>
        <v>5.3833440000000001</v>
      </c>
    </row>
    <row r="38" spans="1:2" x14ac:dyDescent="0.4">
      <c r="A38" t="s">
        <v>41</v>
      </c>
      <c r="B38">
        <f t="shared" si="0"/>
        <v>6.0067729999999999</v>
      </c>
    </row>
    <row r="39" spans="1:2" x14ac:dyDescent="0.4">
      <c r="A39" t="s">
        <v>42</v>
      </c>
      <c r="B39">
        <f t="shared" si="0"/>
        <v>5.8894739999999999</v>
      </c>
    </row>
    <row r="40" spans="1:2" x14ac:dyDescent="0.4">
      <c r="A40" t="s">
        <v>43</v>
      </c>
      <c r="B40">
        <f t="shared" si="0"/>
        <v>5.7596759999999998</v>
      </c>
    </row>
    <row r="41" spans="1:2" x14ac:dyDescent="0.4">
      <c r="A41" t="s">
        <v>44</v>
      </c>
      <c r="B41">
        <f t="shared" si="0"/>
        <v>5.664981</v>
      </c>
    </row>
    <row r="42" spans="1:2" x14ac:dyDescent="0.4">
      <c r="A42" t="s">
        <v>45</v>
      </c>
      <c r="B42">
        <f t="shared" si="0"/>
        <v>5.5577300000000003</v>
      </c>
    </row>
    <row r="43" spans="1:2" x14ac:dyDescent="0.4">
      <c r="A43" t="s">
        <v>41</v>
      </c>
      <c r="B43">
        <f t="shared" si="0"/>
        <v>6.0067729999999999</v>
      </c>
    </row>
    <row r="44" spans="1:2" x14ac:dyDescent="0.4">
      <c r="A44" t="s">
        <v>42</v>
      </c>
      <c r="B44">
        <f t="shared" si="0"/>
        <v>5.8894739999999999</v>
      </c>
    </row>
    <row r="45" spans="1:2" x14ac:dyDescent="0.4">
      <c r="A45" t="s">
        <v>43</v>
      </c>
      <c r="B45">
        <f t="shared" si="0"/>
        <v>5.7596759999999998</v>
      </c>
    </row>
    <row r="46" spans="1:2" x14ac:dyDescent="0.4">
      <c r="A46" t="s">
        <v>44</v>
      </c>
      <c r="B46">
        <f t="shared" si="0"/>
        <v>5.664981</v>
      </c>
    </row>
    <row r="47" spans="1:2" x14ac:dyDescent="0.4">
      <c r="A47" t="s">
        <v>41</v>
      </c>
      <c r="B47">
        <f t="shared" si="0"/>
        <v>6.0067729999999999</v>
      </c>
    </row>
    <row r="48" spans="1:2" x14ac:dyDescent="0.4">
      <c r="A48" t="s">
        <v>42</v>
      </c>
      <c r="B48">
        <f t="shared" si="0"/>
        <v>5.8894739999999999</v>
      </c>
    </row>
    <row r="49" spans="1:2" x14ac:dyDescent="0.4">
      <c r="A49" t="s">
        <v>43</v>
      </c>
      <c r="B49">
        <f t="shared" si="0"/>
        <v>5.7596759999999998</v>
      </c>
    </row>
    <row r="50" spans="1:2" x14ac:dyDescent="0.4">
      <c r="A50" t="s">
        <v>41</v>
      </c>
      <c r="B50">
        <f t="shared" si="0"/>
        <v>6.0067729999999999</v>
      </c>
    </row>
    <row r="51" spans="1:2" x14ac:dyDescent="0.4">
      <c r="A51" t="s">
        <v>42</v>
      </c>
      <c r="B51">
        <f t="shared" si="0"/>
        <v>5.8894739999999999</v>
      </c>
    </row>
    <row r="52" spans="1:2" x14ac:dyDescent="0.4">
      <c r="A52" t="s">
        <v>43</v>
      </c>
      <c r="B52">
        <f t="shared" si="0"/>
        <v>5.7596759999999998</v>
      </c>
    </row>
    <row r="53" spans="1:2" x14ac:dyDescent="0.4">
      <c r="A53" t="s">
        <v>44</v>
      </c>
      <c r="B53">
        <f t="shared" si="0"/>
        <v>5.664981</v>
      </c>
    </row>
    <row r="54" spans="1:2" x14ac:dyDescent="0.4">
      <c r="A54" t="s">
        <v>45</v>
      </c>
      <c r="B54">
        <f t="shared" si="0"/>
        <v>5.5577300000000003</v>
      </c>
    </row>
    <row r="55" spans="1:2" x14ac:dyDescent="0.4">
      <c r="A55" t="s">
        <v>41</v>
      </c>
      <c r="B55">
        <f t="shared" si="0"/>
        <v>6.0067729999999999</v>
      </c>
    </row>
    <row r="56" spans="1:2" x14ac:dyDescent="0.4">
      <c r="A56" t="s">
        <v>42</v>
      </c>
      <c r="B56">
        <f t="shared" si="0"/>
        <v>5.8894739999999999</v>
      </c>
    </row>
    <row r="57" spans="1:2" x14ac:dyDescent="0.4">
      <c r="A57" t="s">
        <v>43</v>
      </c>
      <c r="B57">
        <f t="shared" si="0"/>
        <v>5.7596759999999998</v>
      </c>
    </row>
    <row r="58" spans="1:2" x14ac:dyDescent="0.4">
      <c r="A58" t="s">
        <v>44</v>
      </c>
      <c r="B58">
        <f t="shared" si="0"/>
        <v>5.664981</v>
      </c>
    </row>
    <row r="59" spans="1:2" x14ac:dyDescent="0.4">
      <c r="A59" t="s">
        <v>41</v>
      </c>
      <c r="B59">
        <f t="shared" si="0"/>
        <v>6.0067729999999999</v>
      </c>
    </row>
    <row r="60" spans="1:2" x14ac:dyDescent="0.4">
      <c r="A60" t="s">
        <v>42</v>
      </c>
      <c r="B60">
        <f t="shared" si="0"/>
        <v>5.8894739999999999</v>
      </c>
    </row>
    <row r="61" spans="1:2" x14ac:dyDescent="0.4">
      <c r="A61" t="s">
        <v>43</v>
      </c>
      <c r="B61">
        <f t="shared" si="0"/>
        <v>5.7596759999999998</v>
      </c>
    </row>
    <row r="62" spans="1:2" x14ac:dyDescent="0.4">
      <c r="A62" t="s">
        <v>44</v>
      </c>
      <c r="B62">
        <f t="shared" si="0"/>
        <v>5.664981</v>
      </c>
    </row>
    <row r="63" spans="1:2" x14ac:dyDescent="0.4">
      <c r="A63" t="s">
        <v>45</v>
      </c>
      <c r="B63">
        <f t="shared" si="0"/>
        <v>5.5577300000000003</v>
      </c>
    </row>
    <row r="64" spans="1:2" x14ac:dyDescent="0.4">
      <c r="A64" t="s">
        <v>41</v>
      </c>
      <c r="B64">
        <f t="shared" si="0"/>
        <v>6.0067729999999999</v>
      </c>
    </row>
    <row r="65" spans="1:2" x14ac:dyDescent="0.4">
      <c r="A65" t="s">
        <v>42</v>
      </c>
      <c r="B65">
        <f t="shared" si="0"/>
        <v>5.8894739999999999</v>
      </c>
    </row>
    <row r="66" spans="1:2" x14ac:dyDescent="0.4">
      <c r="A66" t="s">
        <v>43</v>
      </c>
      <c r="B66">
        <f t="shared" si="0"/>
        <v>5.7596759999999998</v>
      </c>
    </row>
    <row r="67" spans="1:2" x14ac:dyDescent="0.4">
      <c r="A67" t="s">
        <v>41</v>
      </c>
      <c r="B67">
        <f t="shared" ref="B67:B85" si="4">VALUE(TRIM(RIGHT(A67,LEN(A67)-FIND("@",SUBSTITUTE(A67," ","@",LEN(A67)-LEN(SUBSTITUTE(A67," ","")))))))</f>
        <v>6.0067729999999999</v>
      </c>
    </row>
    <row r="68" spans="1:2" x14ac:dyDescent="0.4">
      <c r="A68" t="s">
        <v>42</v>
      </c>
      <c r="B68">
        <f t="shared" si="4"/>
        <v>5.8894739999999999</v>
      </c>
    </row>
    <row r="69" spans="1:2" x14ac:dyDescent="0.4">
      <c r="A69" t="s">
        <v>41</v>
      </c>
      <c r="B69">
        <f t="shared" si="4"/>
        <v>6.0067729999999999</v>
      </c>
    </row>
    <row r="70" spans="1:2" x14ac:dyDescent="0.4">
      <c r="A70" t="s">
        <v>41</v>
      </c>
      <c r="B70">
        <f t="shared" si="4"/>
        <v>6.0067729999999999</v>
      </c>
    </row>
    <row r="71" spans="1:2" x14ac:dyDescent="0.4">
      <c r="A71" t="s">
        <v>41</v>
      </c>
      <c r="B71">
        <f t="shared" si="4"/>
        <v>6.0067729999999999</v>
      </c>
    </row>
    <row r="72" spans="1:2" x14ac:dyDescent="0.4">
      <c r="A72" t="s">
        <v>42</v>
      </c>
      <c r="B72">
        <f t="shared" si="4"/>
        <v>5.8894739999999999</v>
      </c>
    </row>
    <row r="73" spans="1:2" x14ac:dyDescent="0.4">
      <c r="A73" t="s">
        <v>43</v>
      </c>
      <c r="B73">
        <f t="shared" si="4"/>
        <v>5.7596759999999998</v>
      </c>
    </row>
    <row r="74" spans="1:2" x14ac:dyDescent="0.4">
      <c r="A74" t="s">
        <v>44</v>
      </c>
      <c r="B74">
        <f t="shared" si="4"/>
        <v>5.664981</v>
      </c>
    </row>
    <row r="75" spans="1:2" x14ac:dyDescent="0.4">
      <c r="A75" t="s">
        <v>45</v>
      </c>
      <c r="B75">
        <f t="shared" si="4"/>
        <v>5.5577300000000003</v>
      </c>
    </row>
    <row r="76" spans="1:2" x14ac:dyDescent="0.4">
      <c r="A76" t="s">
        <v>46</v>
      </c>
      <c r="B76">
        <f t="shared" si="4"/>
        <v>5.469544</v>
      </c>
    </row>
    <row r="77" spans="1:2" x14ac:dyDescent="0.4">
      <c r="A77" t="s">
        <v>47</v>
      </c>
      <c r="B77">
        <f t="shared" si="4"/>
        <v>5.3833440000000001</v>
      </c>
    </row>
    <row r="78" spans="1:2" x14ac:dyDescent="0.4">
      <c r="A78" t="s">
        <v>48</v>
      </c>
      <c r="B78">
        <f t="shared" si="4"/>
        <v>5.3525919999999996</v>
      </c>
    </row>
    <row r="79" spans="1:2" x14ac:dyDescent="0.4">
      <c r="A79" t="s">
        <v>49</v>
      </c>
      <c r="B79">
        <f t="shared" si="4"/>
        <v>5.2695040000000004</v>
      </c>
    </row>
    <row r="80" spans="1:2" x14ac:dyDescent="0.4">
      <c r="A80" t="s">
        <v>50</v>
      </c>
      <c r="B80">
        <f t="shared" si="4"/>
        <v>5.1996339999999996</v>
      </c>
    </row>
    <row r="81" spans="1:2" x14ac:dyDescent="0.4">
      <c r="A81" t="s">
        <v>51</v>
      </c>
      <c r="B81">
        <f t="shared" si="4"/>
        <v>5.1233880000000003</v>
      </c>
    </row>
    <row r="82" spans="1:2" x14ac:dyDescent="0.4">
      <c r="A82" t="s">
        <v>52</v>
      </c>
      <c r="B82">
        <f t="shared" si="4"/>
        <v>5.0633879999999998</v>
      </c>
    </row>
    <row r="83" spans="1:2" x14ac:dyDescent="0.4">
      <c r="A83" t="s">
        <v>53</v>
      </c>
      <c r="B83">
        <f t="shared" si="4"/>
        <v>5.0171029999999996</v>
      </c>
    </row>
    <row r="84" spans="1:2" x14ac:dyDescent="0.4">
      <c r="A84" t="s">
        <v>54</v>
      </c>
      <c r="B84">
        <f t="shared" si="4"/>
        <v>4.9706780000000004</v>
      </c>
    </row>
    <row r="85" spans="1:2" x14ac:dyDescent="0.4">
      <c r="A85" t="s">
        <v>55</v>
      </c>
      <c r="B85">
        <f t="shared" si="4"/>
        <v>4.9154640000000001</v>
      </c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581D8F-9826-46D6-82E3-6D1ECCAE1321}">
  <dimension ref="B1:J122"/>
  <sheetViews>
    <sheetView tabSelected="1" workbookViewId="0">
      <selection activeCell="D3" sqref="D3"/>
    </sheetView>
  </sheetViews>
  <sheetFormatPr defaultRowHeight="14.6" x14ac:dyDescent="0.4"/>
  <cols>
    <col min="2" max="2" width="24.921875" customWidth="1"/>
    <col min="4" max="4" width="9.23046875" style="12"/>
    <col min="6" max="6" width="26.69140625" customWidth="1"/>
    <col min="9" max="9" width="22.15234375" customWidth="1"/>
  </cols>
  <sheetData>
    <row r="1" spans="2:10" x14ac:dyDescent="0.4">
      <c r="B1" t="s">
        <v>220</v>
      </c>
      <c r="F1" t="s">
        <v>219</v>
      </c>
      <c r="I1" t="s">
        <v>218</v>
      </c>
    </row>
    <row r="3" spans="2:10" x14ac:dyDescent="0.4">
      <c r="B3" t="s">
        <v>78</v>
      </c>
      <c r="C3">
        <f>VALUE(TRIM(RIGHT(B3,LEN(B3)-FIND("@",SUBSTITUTE(B3," ","@",LEN(B3)-LEN(SUBSTITUTE(B3," ","")))))))</f>
        <v>12.281869</v>
      </c>
      <c r="D3" s="12">
        <v>12.281869</v>
      </c>
      <c r="F3" t="s">
        <v>98</v>
      </c>
      <c r="G3">
        <f>VALUE(TRIM(RIGHT(F3,LEN(F3)-FIND("@",SUBSTITUTE(F3," ","@",LEN(F3)-LEN(SUBSTITUTE(F3," ","")))))))</f>
        <v>11.477461999999999</v>
      </c>
      <c r="I3" t="s">
        <v>221</v>
      </c>
      <c r="J3">
        <f>VALUE(TRIM(RIGHT(I3,LEN(I3)-FIND("@",SUBSTITUTE(I3," ","@",LEN(I3)-LEN(SUBSTITUTE(I3," ","")))))))</f>
        <v>10.178493</v>
      </c>
    </row>
    <row r="4" spans="2:10" x14ac:dyDescent="0.4">
      <c r="B4" t="s">
        <v>79</v>
      </c>
      <c r="C4">
        <f t="shared" ref="C4:C22" si="0">VALUE(TRIM(RIGHT(B4,LEN(B4)-FIND("@",SUBSTITUTE(B4," ","@",LEN(B4)-LEN(SUBSTITUTE(B4," ","")))))))</f>
        <v>10.475529999999999</v>
      </c>
      <c r="D4" s="12">
        <v>10.475529999999999</v>
      </c>
      <c r="F4" t="s">
        <v>99</v>
      </c>
      <c r="G4">
        <f t="shared" ref="G4:G67" si="1">VALUE(TRIM(RIGHT(F4,LEN(F4)-FIND("@",SUBSTITUTE(F4," ","@",LEN(F4)-LEN(SUBSTITUTE(F4," ","")))))))</f>
        <v>10.243162</v>
      </c>
      <c r="I4" t="s">
        <v>222</v>
      </c>
      <c r="J4">
        <f t="shared" ref="J4:J13" si="2">VALUE(TRIM(RIGHT(I4,LEN(I4)-FIND("@",SUBSTITUTE(I4," ","@",LEN(I4)-LEN(SUBSTITUTE(I4," ","")))))))</f>
        <v>9.3791569999999993</v>
      </c>
    </row>
    <row r="5" spans="2:10" x14ac:dyDescent="0.4">
      <c r="B5" t="s">
        <v>80</v>
      </c>
      <c r="C5">
        <f t="shared" si="0"/>
        <v>9.0221040000000006</v>
      </c>
      <c r="D5" s="12">
        <v>9.0221040000000006</v>
      </c>
      <c r="F5" t="s">
        <v>100</v>
      </c>
      <c r="G5">
        <f t="shared" si="1"/>
        <v>9.4202670000000008</v>
      </c>
      <c r="I5" t="s">
        <v>223</v>
      </c>
      <c r="J5">
        <f t="shared" si="2"/>
        <v>8.954072</v>
      </c>
    </row>
    <row r="6" spans="2:10" x14ac:dyDescent="0.4">
      <c r="B6" t="s">
        <v>81</v>
      </c>
      <c r="C6">
        <f t="shared" si="0"/>
        <v>7.710941</v>
      </c>
      <c r="D6" s="12">
        <v>7.710941</v>
      </c>
      <c r="F6" t="s">
        <v>101</v>
      </c>
      <c r="G6">
        <f t="shared" si="1"/>
        <v>8.6973819999999993</v>
      </c>
      <c r="I6" t="s">
        <v>224</v>
      </c>
      <c r="J6">
        <f t="shared" si="2"/>
        <v>8.6084800000000001</v>
      </c>
    </row>
    <row r="7" spans="2:10" x14ac:dyDescent="0.4">
      <c r="B7" t="s">
        <v>82</v>
      </c>
      <c r="C7">
        <f t="shared" si="0"/>
        <v>6.6865579999999998</v>
      </c>
      <c r="D7" s="12">
        <v>6.6865579999999998</v>
      </c>
      <c r="F7" t="s">
        <v>102</v>
      </c>
      <c r="G7">
        <f t="shared" si="1"/>
        <v>8.0884219999999996</v>
      </c>
      <c r="I7" t="s">
        <v>225</v>
      </c>
      <c r="J7">
        <f t="shared" si="2"/>
        <v>8.3105840000000004</v>
      </c>
    </row>
    <row r="8" spans="2:10" x14ac:dyDescent="0.4">
      <c r="B8" t="s">
        <v>83</v>
      </c>
      <c r="C8">
        <f t="shared" si="0"/>
        <v>5.719036</v>
      </c>
      <c r="D8" s="12">
        <v>5.719036</v>
      </c>
      <c r="F8" t="s">
        <v>103</v>
      </c>
      <c r="G8">
        <f t="shared" si="1"/>
        <v>7.5086510000000004</v>
      </c>
      <c r="I8" t="s">
        <v>226</v>
      </c>
      <c r="J8">
        <f t="shared" si="2"/>
        <v>8.0325760000000006</v>
      </c>
    </row>
    <row r="9" spans="2:10" x14ac:dyDescent="0.4">
      <c r="B9" t="s">
        <v>84</v>
      </c>
      <c r="C9">
        <f t="shared" si="0"/>
        <v>4.8801639999999997</v>
      </c>
      <c r="D9" s="12">
        <v>4.8801639999999997</v>
      </c>
      <c r="F9" t="s">
        <v>104</v>
      </c>
      <c r="G9">
        <f t="shared" si="1"/>
        <v>7.0412369999999997</v>
      </c>
      <c r="I9" t="s">
        <v>227</v>
      </c>
      <c r="J9">
        <f t="shared" si="2"/>
        <v>7.8227820000000001</v>
      </c>
    </row>
    <row r="10" spans="2:10" x14ac:dyDescent="0.4">
      <c r="B10" t="s">
        <v>85</v>
      </c>
      <c r="C10">
        <f t="shared" si="0"/>
        <v>4.1630609999999999</v>
      </c>
      <c r="D10" s="12">
        <v>4.1630609999999999</v>
      </c>
      <c r="F10" t="s">
        <v>105</v>
      </c>
      <c r="G10">
        <f t="shared" si="1"/>
        <v>6.5982589999999997</v>
      </c>
      <c r="I10" t="s">
        <v>228</v>
      </c>
      <c r="J10">
        <f t="shared" si="2"/>
        <v>7.6112909999999996</v>
      </c>
    </row>
    <row r="11" spans="2:10" x14ac:dyDescent="0.4">
      <c r="B11" t="s">
        <v>86</v>
      </c>
      <c r="C11">
        <f t="shared" si="0"/>
        <v>3.3946689999999999</v>
      </c>
      <c r="D11" s="12">
        <v>3.3946689999999999</v>
      </c>
      <c r="F11" t="s">
        <v>106</v>
      </c>
      <c r="G11">
        <f t="shared" si="1"/>
        <v>6.1949459999999998</v>
      </c>
      <c r="I11" t="s">
        <v>229</v>
      </c>
      <c r="J11">
        <f t="shared" si="2"/>
        <v>7.3894529999999996</v>
      </c>
    </row>
    <row r="12" spans="2:10" x14ac:dyDescent="0.4">
      <c r="B12" t="s">
        <v>87</v>
      </c>
      <c r="C12">
        <f t="shared" si="0"/>
        <v>2.8382339999999999</v>
      </c>
      <c r="D12" s="12">
        <v>2.8382339999999999</v>
      </c>
      <c r="F12" t="s">
        <v>107</v>
      </c>
      <c r="G12">
        <f t="shared" si="1"/>
        <v>5.8677599999999996</v>
      </c>
      <c r="I12" t="s">
        <v>230</v>
      </c>
      <c r="J12">
        <f t="shared" si="2"/>
        <v>7.2223790000000001</v>
      </c>
    </row>
    <row r="13" spans="2:10" x14ac:dyDescent="0.4">
      <c r="B13" t="s">
        <v>88</v>
      </c>
      <c r="C13">
        <f t="shared" si="0"/>
        <v>2.4257240000000002</v>
      </c>
      <c r="D13" s="12">
        <v>2.4257240000000002</v>
      </c>
      <c r="F13" t="s">
        <v>108</v>
      </c>
      <c r="G13">
        <f t="shared" si="1"/>
        <v>5.4542529999999996</v>
      </c>
      <c r="I13" t="s">
        <v>231</v>
      </c>
      <c r="J13">
        <f t="shared" si="2"/>
        <v>7.0576540000000003</v>
      </c>
    </row>
    <row r="14" spans="2:10" x14ac:dyDescent="0.4">
      <c r="B14" t="s">
        <v>89</v>
      </c>
      <c r="C14">
        <f t="shared" si="0"/>
        <v>1.9966729999999999</v>
      </c>
      <c r="D14" s="12">
        <v>1.9966729999999999</v>
      </c>
      <c r="F14" t="s">
        <v>109</v>
      </c>
      <c r="G14">
        <f t="shared" si="1"/>
        <v>5.2220909999999998</v>
      </c>
    </row>
    <row r="15" spans="2:10" x14ac:dyDescent="0.4">
      <c r="B15" t="s">
        <v>90</v>
      </c>
      <c r="C15">
        <f t="shared" si="0"/>
        <v>1.602676</v>
      </c>
      <c r="D15" s="12">
        <v>1.602676</v>
      </c>
      <c r="F15" t="s">
        <v>110</v>
      </c>
      <c r="G15">
        <f t="shared" si="1"/>
        <v>4.901389</v>
      </c>
    </row>
    <row r="16" spans="2:10" x14ac:dyDescent="0.4">
      <c r="B16" t="s">
        <v>91</v>
      </c>
      <c r="C16">
        <f t="shared" si="0"/>
        <v>1.5300419999999999</v>
      </c>
      <c r="D16" s="12">
        <v>1.5300419999999999</v>
      </c>
      <c r="F16" t="s">
        <v>111</v>
      </c>
      <c r="G16">
        <f t="shared" si="1"/>
        <v>4.6635010000000001</v>
      </c>
    </row>
    <row r="17" spans="2:7" x14ac:dyDescent="0.4">
      <c r="B17" t="s">
        <v>92</v>
      </c>
      <c r="C17">
        <f t="shared" si="0"/>
        <v>1.2425569999999999</v>
      </c>
      <c r="D17" s="12">
        <v>1.2425569999999999</v>
      </c>
      <c r="F17" t="s">
        <v>112</v>
      </c>
      <c r="G17">
        <f t="shared" si="1"/>
        <v>4.540565</v>
      </c>
    </row>
    <row r="18" spans="2:7" x14ac:dyDescent="0.4">
      <c r="B18" t="s">
        <v>93</v>
      </c>
      <c r="C18">
        <f t="shared" si="0"/>
        <v>1.2608379999999999</v>
      </c>
      <c r="D18" s="12">
        <v>1.2608379999999999</v>
      </c>
      <c r="F18" t="s">
        <v>113</v>
      </c>
      <c r="G18">
        <f t="shared" si="1"/>
        <v>4.3348769999999996</v>
      </c>
    </row>
    <row r="19" spans="2:7" x14ac:dyDescent="0.4">
      <c r="B19" t="s">
        <v>94</v>
      </c>
      <c r="C19">
        <f t="shared" si="0"/>
        <v>1.1618409999999999</v>
      </c>
      <c r="D19" s="12">
        <v>1.1618409999999999</v>
      </c>
      <c r="F19" t="s">
        <v>114</v>
      </c>
      <c r="G19">
        <f t="shared" si="1"/>
        <v>4.1410299999999998</v>
      </c>
    </row>
    <row r="20" spans="2:7" x14ac:dyDescent="0.4">
      <c r="B20" t="s">
        <v>95</v>
      </c>
      <c r="C20">
        <f t="shared" si="0"/>
        <v>1.2010959999999999</v>
      </c>
      <c r="D20" s="12">
        <v>1.2010959999999999</v>
      </c>
      <c r="F20" t="s">
        <v>115</v>
      </c>
      <c r="G20">
        <f t="shared" si="1"/>
        <v>3.9825620000000002</v>
      </c>
    </row>
    <row r="21" spans="2:7" x14ac:dyDescent="0.4">
      <c r="B21" t="s">
        <v>96</v>
      </c>
      <c r="C21">
        <f t="shared" si="0"/>
        <v>1.3986829999999999</v>
      </c>
      <c r="D21" s="12">
        <v>1.3986829999999999</v>
      </c>
      <c r="F21" t="s">
        <v>116</v>
      </c>
      <c r="G21">
        <f t="shared" si="1"/>
        <v>3.8649689999999999</v>
      </c>
    </row>
    <row r="22" spans="2:7" x14ac:dyDescent="0.4">
      <c r="B22" t="s">
        <v>97</v>
      </c>
      <c r="C22">
        <f t="shared" si="0"/>
        <v>1.2133959999999999</v>
      </c>
      <c r="D22" s="12">
        <v>1.2133959999999999</v>
      </c>
      <c r="F22" t="s">
        <v>117</v>
      </c>
      <c r="G22">
        <f t="shared" si="1"/>
        <v>3.7848980000000001</v>
      </c>
    </row>
    <row r="23" spans="2:7" x14ac:dyDescent="0.4">
      <c r="F23" t="s">
        <v>118</v>
      </c>
      <c r="G23">
        <f t="shared" si="1"/>
        <v>3.6353810000000002</v>
      </c>
    </row>
    <row r="24" spans="2:7" x14ac:dyDescent="0.4">
      <c r="F24" t="s">
        <v>119</v>
      </c>
      <c r="G24">
        <f t="shared" si="1"/>
        <v>3.53911</v>
      </c>
    </row>
    <row r="25" spans="2:7" x14ac:dyDescent="0.4">
      <c r="F25" t="s">
        <v>120</v>
      </c>
      <c r="G25">
        <f t="shared" si="1"/>
        <v>3.3772129999999998</v>
      </c>
    </row>
    <row r="26" spans="2:7" x14ac:dyDescent="0.4">
      <c r="F26" t="s">
        <v>121</v>
      </c>
      <c r="G26">
        <f t="shared" si="1"/>
        <v>3.352773</v>
      </c>
    </row>
    <row r="27" spans="2:7" x14ac:dyDescent="0.4">
      <c r="F27" t="s">
        <v>122</v>
      </c>
      <c r="G27">
        <f t="shared" si="1"/>
        <v>3.2230300000000001</v>
      </c>
    </row>
    <row r="28" spans="2:7" x14ac:dyDescent="0.4">
      <c r="F28" t="s">
        <v>123</v>
      </c>
      <c r="G28">
        <f t="shared" si="1"/>
        <v>3.0613860000000002</v>
      </c>
    </row>
    <row r="29" spans="2:7" x14ac:dyDescent="0.4">
      <c r="F29" t="s">
        <v>124</v>
      </c>
      <c r="G29">
        <f t="shared" si="1"/>
        <v>2.974332</v>
      </c>
    </row>
    <row r="30" spans="2:7" x14ac:dyDescent="0.4">
      <c r="F30" t="s">
        <v>125</v>
      </c>
      <c r="G30">
        <f t="shared" si="1"/>
        <v>2.9002370000000002</v>
      </c>
    </row>
    <row r="31" spans="2:7" x14ac:dyDescent="0.4">
      <c r="F31" t="s">
        <v>126</v>
      </c>
      <c r="G31">
        <f t="shared" si="1"/>
        <v>2.798476</v>
      </c>
    </row>
    <row r="32" spans="2:7" x14ac:dyDescent="0.4">
      <c r="F32" t="s">
        <v>127</v>
      </c>
      <c r="G32">
        <f t="shared" si="1"/>
        <v>2.7295699999999998</v>
      </c>
    </row>
    <row r="33" spans="6:7" x14ac:dyDescent="0.4">
      <c r="F33" t="s">
        <v>128</v>
      </c>
      <c r="G33">
        <f t="shared" si="1"/>
        <v>2.6275230000000001</v>
      </c>
    </row>
    <row r="34" spans="6:7" x14ac:dyDescent="0.4">
      <c r="F34" t="s">
        <v>129</v>
      </c>
      <c r="G34">
        <f t="shared" si="1"/>
        <v>2.5358360000000002</v>
      </c>
    </row>
    <row r="35" spans="6:7" x14ac:dyDescent="0.4">
      <c r="F35" t="s">
        <v>130</v>
      </c>
      <c r="G35">
        <f t="shared" si="1"/>
        <v>2.4733010000000002</v>
      </c>
    </row>
    <row r="36" spans="6:7" x14ac:dyDescent="0.4">
      <c r="F36" t="s">
        <v>131</v>
      </c>
      <c r="G36">
        <f t="shared" si="1"/>
        <v>2.3862000000000001</v>
      </c>
    </row>
    <row r="37" spans="6:7" x14ac:dyDescent="0.4">
      <c r="F37" t="s">
        <v>132</v>
      </c>
      <c r="G37">
        <f t="shared" si="1"/>
        <v>2.3171279999999999</v>
      </c>
    </row>
    <row r="38" spans="6:7" x14ac:dyDescent="0.4">
      <c r="F38" t="s">
        <v>133</v>
      </c>
      <c r="G38">
        <f t="shared" si="1"/>
        <v>2.2594259999999999</v>
      </c>
    </row>
    <row r="39" spans="6:7" x14ac:dyDescent="0.4">
      <c r="F39" t="s">
        <v>134</v>
      </c>
      <c r="G39">
        <f t="shared" si="1"/>
        <v>2.191773</v>
      </c>
    </row>
    <row r="40" spans="6:7" x14ac:dyDescent="0.4">
      <c r="F40" t="s">
        <v>135</v>
      </c>
      <c r="G40">
        <f t="shared" si="1"/>
        <v>2.123129</v>
      </c>
    </row>
    <row r="41" spans="6:7" x14ac:dyDescent="0.4">
      <c r="F41" t="s">
        <v>136</v>
      </c>
      <c r="G41">
        <f t="shared" si="1"/>
        <v>2.0486930000000001</v>
      </c>
    </row>
    <row r="42" spans="6:7" x14ac:dyDescent="0.4">
      <c r="F42" t="s">
        <v>137</v>
      </c>
      <c r="G42">
        <f t="shared" si="1"/>
        <v>2.0025729999999999</v>
      </c>
    </row>
    <row r="43" spans="6:7" x14ac:dyDescent="0.4">
      <c r="F43" t="s">
        <v>138</v>
      </c>
      <c r="G43">
        <f t="shared" si="1"/>
        <v>1.9404729999999999</v>
      </c>
    </row>
    <row r="44" spans="6:7" x14ac:dyDescent="0.4">
      <c r="F44" t="s">
        <v>139</v>
      </c>
      <c r="G44">
        <f t="shared" si="1"/>
        <v>1.8860760000000001</v>
      </c>
    </row>
    <row r="45" spans="6:7" x14ac:dyDescent="0.4">
      <c r="F45" t="s">
        <v>140</v>
      </c>
      <c r="G45">
        <f t="shared" si="1"/>
        <v>1.835834</v>
      </c>
    </row>
    <row r="46" spans="6:7" x14ac:dyDescent="0.4">
      <c r="F46" t="s">
        <v>141</v>
      </c>
      <c r="G46">
        <f t="shared" si="1"/>
        <v>1.7772520000000001</v>
      </c>
    </row>
    <row r="47" spans="6:7" x14ac:dyDescent="0.4">
      <c r="F47" t="s">
        <v>142</v>
      </c>
      <c r="G47">
        <f t="shared" si="1"/>
        <v>1.7253339999999999</v>
      </c>
    </row>
    <row r="48" spans="6:7" x14ac:dyDescent="0.4">
      <c r="F48" t="s">
        <v>143</v>
      </c>
      <c r="G48">
        <f t="shared" si="1"/>
        <v>1.6814629999999999</v>
      </c>
    </row>
    <row r="49" spans="6:7" x14ac:dyDescent="0.4">
      <c r="F49" t="s">
        <v>144</v>
      </c>
      <c r="G49">
        <f t="shared" si="1"/>
        <v>1.6397219999999999</v>
      </c>
    </row>
    <row r="50" spans="6:7" x14ac:dyDescent="0.4">
      <c r="F50" t="s">
        <v>145</v>
      </c>
      <c r="G50">
        <f t="shared" si="1"/>
        <v>1.5963320000000001</v>
      </c>
    </row>
    <row r="51" spans="6:7" x14ac:dyDescent="0.4">
      <c r="F51" t="s">
        <v>146</v>
      </c>
      <c r="G51">
        <f t="shared" si="1"/>
        <v>1.5549010000000001</v>
      </c>
    </row>
    <row r="52" spans="6:7" x14ac:dyDescent="0.4">
      <c r="F52" t="s">
        <v>147</v>
      </c>
      <c r="G52">
        <f t="shared" si="1"/>
        <v>1.5186409999999999</v>
      </c>
    </row>
    <row r="53" spans="6:7" x14ac:dyDescent="0.4">
      <c r="F53" t="s">
        <v>148</v>
      </c>
      <c r="G53">
        <f t="shared" si="1"/>
        <v>1.4757910000000001</v>
      </c>
    </row>
    <row r="54" spans="6:7" x14ac:dyDescent="0.4">
      <c r="F54" t="s">
        <v>149</v>
      </c>
      <c r="G54">
        <f t="shared" si="1"/>
        <v>1.4367890000000001</v>
      </c>
    </row>
    <row r="55" spans="6:7" x14ac:dyDescent="0.4">
      <c r="F55" t="s">
        <v>150</v>
      </c>
      <c r="G55">
        <f t="shared" si="1"/>
        <v>1.4007689999999999</v>
      </c>
    </row>
    <row r="56" spans="6:7" x14ac:dyDescent="0.4">
      <c r="F56" t="s">
        <v>151</v>
      </c>
      <c r="G56">
        <f t="shared" si="1"/>
        <v>1.368222</v>
      </c>
    </row>
    <row r="57" spans="6:7" x14ac:dyDescent="0.4">
      <c r="F57" t="s">
        <v>152</v>
      </c>
      <c r="G57">
        <f t="shared" si="1"/>
        <v>1.3414010000000001</v>
      </c>
    </row>
    <row r="58" spans="6:7" x14ac:dyDescent="0.4">
      <c r="F58" t="s">
        <v>153</v>
      </c>
      <c r="G58">
        <f t="shared" si="1"/>
        <v>1.310616</v>
      </c>
    </row>
    <row r="59" spans="6:7" x14ac:dyDescent="0.4">
      <c r="F59" t="s">
        <v>154</v>
      </c>
      <c r="G59">
        <f t="shared" si="1"/>
        <v>1.280481</v>
      </c>
    </row>
    <row r="60" spans="6:7" x14ac:dyDescent="0.4">
      <c r="F60" t="s">
        <v>155</v>
      </c>
      <c r="G60">
        <f t="shared" si="1"/>
        <v>1.2560439999999999</v>
      </c>
    </row>
    <row r="61" spans="6:7" x14ac:dyDescent="0.4">
      <c r="F61" t="s">
        <v>156</v>
      </c>
      <c r="G61">
        <f t="shared" si="1"/>
        <v>1.2289859999999999</v>
      </c>
    </row>
    <row r="62" spans="6:7" x14ac:dyDescent="0.4">
      <c r="F62" t="s">
        <v>157</v>
      </c>
      <c r="G62">
        <f t="shared" si="1"/>
        <v>1.2167889999999999</v>
      </c>
    </row>
    <row r="63" spans="6:7" x14ac:dyDescent="0.4">
      <c r="F63" t="s">
        <v>158</v>
      </c>
      <c r="G63">
        <f t="shared" si="1"/>
        <v>1.184456</v>
      </c>
    </row>
    <row r="64" spans="6:7" x14ac:dyDescent="0.4">
      <c r="F64" t="s">
        <v>159</v>
      </c>
      <c r="G64">
        <f t="shared" si="1"/>
        <v>1.158072</v>
      </c>
    </row>
    <row r="65" spans="6:7" x14ac:dyDescent="0.4">
      <c r="F65" t="s">
        <v>160</v>
      </c>
      <c r="G65">
        <f t="shared" si="1"/>
        <v>1.136714</v>
      </c>
    </row>
    <row r="66" spans="6:7" x14ac:dyDescent="0.4">
      <c r="F66" t="s">
        <v>161</v>
      </c>
      <c r="G66">
        <f t="shared" si="1"/>
        <v>1.1147370000000001</v>
      </c>
    </row>
    <row r="67" spans="6:7" x14ac:dyDescent="0.4">
      <c r="F67" t="s">
        <v>162</v>
      </c>
      <c r="G67">
        <f t="shared" si="1"/>
        <v>1.1010690000000001</v>
      </c>
    </row>
    <row r="68" spans="6:7" x14ac:dyDescent="0.4">
      <c r="F68" t="s">
        <v>163</v>
      </c>
      <c r="G68">
        <f t="shared" ref="G68:G122" si="3">VALUE(TRIM(RIGHT(F68,LEN(F68)-FIND("@",SUBSTITUTE(F68," ","@",LEN(F68)-LEN(SUBSTITUTE(F68," ","")))))))</f>
        <v>1.081159</v>
      </c>
    </row>
    <row r="69" spans="6:7" x14ac:dyDescent="0.4">
      <c r="F69" t="s">
        <v>164</v>
      </c>
      <c r="G69">
        <f t="shared" si="3"/>
        <v>1.0610440000000001</v>
      </c>
    </row>
    <row r="70" spans="6:7" x14ac:dyDescent="0.4">
      <c r="F70" t="s">
        <v>165</v>
      </c>
      <c r="G70">
        <f t="shared" si="3"/>
        <v>1.0588280000000001</v>
      </c>
    </row>
    <row r="71" spans="6:7" x14ac:dyDescent="0.4">
      <c r="F71" t="s">
        <v>166</v>
      </c>
      <c r="G71">
        <f t="shared" si="3"/>
        <v>1.034818</v>
      </c>
    </row>
    <row r="72" spans="6:7" x14ac:dyDescent="0.4">
      <c r="F72" t="s">
        <v>167</v>
      </c>
      <c r="G72">
        <f t="shared" si="3"/>
        <v>1.0124949999999999</v>
      </c>
    </row>
    <row r="73" spans="6:7" x14ac:dyDescent="0.4">
      <c r="F73" t="s">
        <v>168</v>
      </c>
      <c r="G73">
        <f t="shared" si="3"/>
        <v>0.99731400000000003</v>
      </c>
    </row>
    <row r="74" spans="6:7" x14ac:dyDescent="0.4">
      <c r="F74" t="s">
        <v>169</v>
      </c>
      <c r="G74">
        <f t="shared" si="3"/>
        <v>0.98586799999999997</v>
      </c>
    </row>
    <row r="75" spans="6:7" x14ac:dyDescent="0.4">
      <c r="F75" t="s">
        <v>170</v>
      </c>
      <c r="G75">
        <f t="shared" si="3"/>
        <v>0.97178399999999998</v>
      </c>
    </row>
    <row r="76" spans="6:7" x14ac:dyDescent="0.4">
      <c r="F76" t="s">
        <v>171</v>
      </c>
      <c r="G76">
        <f t="shared" si="3"/>
        <v>0.95851600000000003</v>
      </c>
    </row>
    <row r="77" spans="6:7" x14ac:dyDescent="0.4">
      <c r="F77" t="s">
        <v>172</v>
      </c>
      <c r="G77">
        <f t="shared" si="3"/>
        <v>0.94566899999999998</v>
      </c>
    </row>
    <row r="78" spans="6:7" x14ac:dyDescent="0.4">
      <c r="F78" t="s">
        <v>173</v>
      </c>
      <c r="G78">
        <f t="shared" si="3"/>
        <v>0.93540299999999998</v>
      </c>
    </row>
    <row r="79" spans="6:7" x14ac:dyDescent="0.4">
      <c r="F79" t="s">
        <v>174</v>
      </c>
      <c r="G79">
        <f t="shared" si="3"/>
        <v>0.92749700000000002</v>
      </c>
    </row>
    <row r="80" spans="6:7" x14ac:dyDescent="0.4">
      <c r="F80" t="s">
        <v>175</v>
      </c>
      <c r="G80">
        <f t="shared" si="3"/>
        <v>0.91817099999999996</v>
      </c>
    </row>
    <row r="81" spans="6:7" x14ac:dyDescent="0.4">
      <c r="F81" t="s">
        <v>176</v>
      </c>
      <c r="G81">
        <f t="shared" si="3"/>
        <v>0.90716300000000005</v>
      </c>
    </row>
    <row r="82" spans="6:7" x14ac:dyDescent="0.4">
      <c r="F82" t="s">
        <v>177</v>
      </c>
      <c r="G82">
        <f t="shared" si="3"/>
        <v>0.89168899999999995</v>
      </c>
    </row>
    <row r="83" spans="6:7" x14ac:dyDescent="0.4">
      <c r="F83" t="s">
        <v>178</v>
      </c>
      <c r="G83">
        <f t="shared" si="3"/>
        <v>0.88042100000000001</v>
      </c>
    </row>
    <row r="84" spans="6:7" x14ac:dyDescent="0.4">
      <c r="F84" t="s">
        <v>179</v>
      </c>
      <c r="G84">
        <f t="shared" si="3"/>
        <v>0.87169300000000005</v>
      </c>
    </row>
    <row r="85" spans="6:7" x14ac:dyDescent="0.4">
      <c r="F85" t="s">
        <v>180</v>
      </c>
      <c r="G85">
        <f t="shared" si="3"/>
        <v>0.86656699999999998</v>
      </c>
    </row>
    <row r="86" spans="6:7" x14ac:dyDescent="0.4">
      <c r="F86" t="s">
        <v>181</v>
      </c>
      <c r="G86">
        <f t="shared" si="3"/>
        <v>0.85850700000000002</v>
      </c>
    </row>
    <row r="87" spans="6:7" x14ac:dyDescent="0.4">
      <c r="F87" t="s">
        <v>182</v>
      </c>
      <c r="G87">
        <f t="shared" si="3"/>
        <v>0.84372899999999995</v>
      </c>
    </row>
    <row r="88" spans="6:7" x14ac:dyDescent="0.4">
      <c r="F88" t="s">
        <v>183</v>
      </c>
      <c r="G88">
        <f t="shared" si="3"/>
        <v>0.83417200000000002</v>
      </c>
    </row>
    <row r="89" spans="6:7" x14ac:dyDescent="0.4">
      <c r="F89" t="s">
        <v>184</v>
      </c>
      <c r="G89">
        <f t="shared" si="3"/>
        <v>0.84358699999999998</v>
      </c>
    </row>
    <row r="90" spans="6:7" x14ac:dyDescent="0.4">
      <c r="F90" t="s">
        <v>185</v>
      </c>
      <c r="G90">
        <f t="shared" si="3"/>
        <v>0.82772000000000001</v>
      </c>
    </row>
    <row r="91" spans="6:7" x14ac:dyDescent="0.4">
      <c r="F91" t="s">
        <v>186</v>
      </c>
      <c r="G91">
        <f t="shared" si="3"/>
        <v>0.81028</v>
      </c>
    </row>
    <row r="92" spans="6:7" x14ac:dyDescent="0.4">
      <c r="F92" t="s">
        <v>187</v>
      </c>
      <c r="G92">
        <f t="shared" si="3"/>
        <v>0.80292300000000005</v>
      </c>
    </row>
    <row r="93" spans="6:7" x14ac:dyDescent="0.4">
      <c r="F93" t="s">
        <v>188</v>
      </c>
      <c r="G93">
        <f t="shared" si="3"/>
        <v>0.79376500000000005</v>
      </c>
    </row>
    <row r="94" spans="6:7" x14ac:dyDescent="0.4">
      <c r="F94" t="s">
        <v>189</v>
      </c>
      <c r="G94">
        <f t="shared" si="3"/>
        <v>0.79611699999999996</v>
      </c>
    </row>
    <row r="95" spans="6:7" x14ac:dyDescent="0.4">
      <c r="F95" t="s">
        <v>190</v>
      </c>
      <c r="G95">
        <f t="shared" si="3"/>
        <v>0.78651000000000004</v>
      </c>
    </row>
    <row r="96" spans="6:7" x14ac:dyDescent="0.4">
      <c r="F96" t="s">
        <v>191</v>
      </c>
      <c r="G96">
        <f t="shared" si="3"/>
        <v>0.78176699999999999</v>
      </c>
    </row>
    <row r="97" spans="6:7" x14ac:dyDescent="0.4">
      <c r="F97" t="s">
        <v>192</v>
      </c>
      <c r="G97">
        <f t="shared" si="3"/>
        <v>0.76687700000000003</v>
      </c>
    </row>
    <row r="98" spans="6:7" x14ac:dyDescent="0.4">
      <c r="F98" t="s">
        <v>193</v>
      </c>
      <c r="G98">
        <f t="shared" si="3"/>
        <v>0.76405400000000001</v>
      </c>
    </row>
    <row r="99" spans="6:7" x14ac:dyDescent="0.4">
      <c r="F99" t="s">
        <v>194</v>
      </c>
      <c r="G99">
        <f t="shared" si="3"/>
        <v>0.75553400000000004</v>
      </c>
    </row>
    <row r="100" spans="6:7" x14ac:dyDescent="0.4">
      <c r="F100" t="s">
        <v>195</v>
      </c>
      <c r="G100">
        <f t="shared" si="3"/>
        <v>0.74569099999999999</v>
      </c>
    </row>
    <row r="101" spans="6:7" x14ac:dyDescent="0.4">
      <c r="F101" t="s">
        <v>196</v>
      </c>
      <c r="G101">
        <f t="shared" si="3"/>
        <v>0.74776600000000004</v>
      </c>
    </row>
    <row r="102" spans="6:7" x14ac:dyDescent="0.4">
      <c r="F102" t="s">
        <v>197</v>
      </c>
      <c r="G102">
        <f t="shared" si="3"/>
        <v>0.74424699999999999</v>
      </c>
    </row>
    <row r="103" spans="6:7" x14ac:dyDescent="0.4">
      <c r="F103" t="s">
        <v>198</v>
      </c>
      <c r="G103">
        <f t="shared" si="3"/>
        <v>0.73308700000000004</v>
      </c>
    </row>
    <row r="104" spans="6:7" x14ac:dyDescent="0.4">
      <c r="F104" t="s">
        <v>199</v>
      </c>
      <c r="G104">
        <f t="shared" si="3"/>
        <v>0.72254099999999999</v>
      </c>
    </row>
    <row r="105" spans="6:7" x14ac:dyDescent="0.4">
      <c r="F105" t="s">
        <v>200</v>
      </c>
      <c r="G105">
        <f t="shared" si="3"/>
        <v>0.71889000000000003</v>
      </c>
    </row>
    <row r="106" spans="6:7" x14ac:dyDescent="0.4">
      <c r="F106" t="s">
        <v>201</v>
      </c>
      <c r="G106">
        <f t="shared" si="3"/>
        <v>0.71755100000000005</v>
      </c>
    </row>
    <row r="107" spans="6:7" x14ac:dyDescent="0.4">
      <c r="F107" t="s">
        <v>202</v>
      </c>
      <c r="G107">
        <f t="shared" si="3"/>
        <v>0.70613999999999999</v>
      </c>
    </row>
    <row r="108" spans="6:7" x14ac:dyDescent="0.4">
      <c r="F108" t="s">
        <v>203</v>
      </c>
      <c r="G108">
        <f t="shared" si="3"/>
        <v>0.70094999999999996</v>
      </c>
    </row>
    <row r="109" spans="6:7" x14ac:dyDescent="0.4">
      <c r="F109" t="s">
        <v>204</v>
      </c>
      <c r="G109">
        <f t="shared" si="3"/>
        <v>0.70397600000000005</v>
      </c>
    </row>
    <row r="110" spans="6:7" x14ac:dyDescent="0.4">
      <c r="F110" t="s">
        <v>205</v>
      </c>
      <c r="G110">
        <f t="shared" si="3"/>
        <v>0.70100799999999996</v>
      </c>
    </row>
    <row r="111" spans="6:7" x14ac:dyDescent="0.4">
      <c r="F111" t="s">
        <v>206</v>
      </c>
      <c r="G111">
        <f t="shared" si="3"/>
        <v>0.69382500000000003</v>
      </c>
    </row>
    <row r="112" spans="6:7" x14ac:dyDescent="0.4">
      <c r="F112" t="s">
        <v>207</v>
      </c>
      <c r="G112">
        <f t="shared" si="3"/>
        <v>0.68252500000000005</v>
      </c>
    </row>
    <row r="113" spans="6:7" x14ac:dyDescent="0.4">
      <c r="F113" t="s">
        <v>208</v>
      </c>
      <c r="G113">
        <f t="shared" si="3"/>
        <v>0.67935199999999996</v>
      </c>
    </row>
    <row r="114" spans="6:7" x14ac:dyDescent="0.4">
      <c r="F114" t="s">
        <v>209</v>
      </c>
      <c r="G114">
        <f t="shared" si="3"/>
        <v>0.67225500000000005</v>
      </c>
    </row>
    <row r="115" spans="6:7" x14ac:dyDescent="0.4">
      <c r="F115" t="s">
        <v>210</v>
      </c>
      <c r="G115">
        <f t="shared" si="3"/>
        <v>0.67538500000000001</v>
      </c>
    </row>
    <row r="116" spans="6:7" x14ac:dyDescent="0.4">
      <c r="F116" t="s">
        <v>211</v>
      </c>
      <c r="G116">
        <f t="shared" si="3"/>
        <v>0.67403599999999997</v>
      </c>
    </row>
    <row r="117" spans="6:7" x14ac:dyDescent="0.4">
      <c r="F117" t="s">
        <v>212</v>
      </c>
      <c r="G117">
        <f t="shared" si="3"/>
        <v>0.66656300000000002</v>
      </c>
    </row>
    <row r="118" spans="6:7" x14ac:dyDescent="0.4">
      <c r="F118" t="s">
        <v>213</v>
      </c>
      <c r="G118">
        <f t="shared" si="3"/>
        <v>0.65870099999999998</v>
      </c>
    </row>
    <row r="119" spans="6:7" x14ac:dyDescent="0.4">
      <c r="F119" t="s">
        <v>214</v>
      </c>
      <c r="G119">
        <f t="shared" si="3"/>
        <v>0.65180199999999999</v>
      </c>
    </row>
    <row r="120" spans="6:7" x14ac:dyDescent="0.4">
      <c r="F120" t="s">
        <v>215</v>
      </c>
      <c r="G120">
        <f t="shared" si="3"/>
        <v>0.64833700000000005</v>
      </c>
    </row>
    <row r="121" spans="6:7" x14ac:dyDescent="0.4">
      <c r="F121" t="s">
        <v>216</v>
      </c>
      <c r="G121">
        <f t="shared" si="3"/>
        <v>0.65347200000000005</v>
      </c>
    </row>
    <row r="122" spans="6:7" x14ac:dyDescent="0.4">
      <c r="F122" t="s">
        <v>217</v>
      </c>
      <c r="G122">
        <f t="shared" si="3"/>
        <v>0.64718100000000001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Jobs</dc:creator>
  <cp:lastModifiedBy>Mike Jobs</cp:lastModifiedBy>
  <dcterms:created xsi:type="dcterms:W3CDTF">2025-09-21T00:37:04Z</dcterms:created>
  <dcterms:modified xsi:type="dcterms:W3CDTF">2025-10-01T07:38:57Z</dcterms:modified>
</cp:coreProperties>
</file>