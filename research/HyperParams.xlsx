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Subnet-18-Zeus\research\"/>
    </mc:Choice>
  </mc:AlternateContent>
  <xr:revisionPtr revIDLastSave="0" documentId="13_ncr:1_{44B98F8C-1D55-4629-ADC4-8C89684CC3A7}" xr6:coauthVersionLast="47" xr6:coauthVersionMax="47" xr10:uidLastSave="{00000000-0000-0000-0000-000000000000}"/>
  <bookViews>
    <workbookView xWindow="-103" yWindow="-103" windowWidth="22149" windowHeight="11829" xr2:uid="{701B61B4-A6E2-434A-B336-77C79E78CC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3" i="1" l="1"/>
  <c r="C14" i="1" s="1"/>
  <c r="C12" i="1"/>
  <c r="C26" i="1" s="1"/>
  <c r="C27" i="1" s="1"/>
  <c r="C11" i="1"/>
  <c r="C23" i="1" s="1"/>
  <c r="C24" i="1" s="1"/>
  <c r="F23" i="1"/>
  <c r="F24" i="1" s="1"/>
  <c r="D23" i="1"/>
  <c r="D24" i="1" s="1"/>
  <c r="H20" i="1"/>
  <c r="H21" i="1" s="1"/>
  <c r="G20" i="1"/>
  <c r="G21" i="1" s="1"/>
  <c r="F20" i="1"/>
  <c r="F21" i="1" s="1"/>
  <c r="D20" i="1"/>
  <c r="D21" i="1" s="1"/>
  <c r="B13" i="1"/>
  <c r="B14" i="1" s="1"/>
  <c r="B12" i="1"/>
  <c r="B26" i="1" s="1"/>
  <c r="B27" i="1" s="1"/>
  <c r="B11" i="1"/>
  <c r="B17" i="1" s="1"/>
  <c r="B18" i="1" s="1"/>
  <c r="F13" i="1"/>
  <c r="F14" i="1" s="1"/>
  <c r="F12" i="1"/>
  <c r="F26" i="1" s="1"/>
  <c r="F11" i="1"/>
  <c r="F17" i="1" s="1"/>
  <c r="F18" i="1" s="1"/>
  <c r="D13" i="1"/>
  <c r="D14" i="1" s="1"/>
  <c r="D12" i="1"/>
  <c r="D26" i="1" s="1"/>
  <c r="D11" i="1"/>
  <c r="D15" i="1" s="1"/>
  <c r="H13" i="1"/>
  <c r="H14" i="1" s="1"/>
  <c r="H12" i="1"/>
  <c r="H26" i="1" s="1"/>
  <c r="H11" i="1"/>
  <c r="H23" i="1" s="1"/>
  <c r="H24" i="1" s="1"/>
  <c r="G13" i="1"/>
  <c r="G14" i="1" s="1"/>
  <c r="G12" i="1"/>
  <c r="G26" i="1" s="1"/>
  <c r="G11" i="1"/>
  <c r="G23" i="1" s="1"/>
  <c r="G24" i="1" s="1"/>
  <c r="I13" i="1"/>
  <c r="I14" i="1" s="1"/>
  <c r="I12" i="1"/>
  <c r="I11" i="1"/>
  <c r="I15" i="1" s="1"/>
  <c r="E13" i="1"/>
  <c r="E14" i="1" s="1"/>
  <c r="E12" i="1"/>
  <c r="E26" i="1" s="1"/>
  <c r="E27" i="1" s="1"/>
  <c r="E11" i="1"/>
  <c r="E23" i="1" s="1"/>
  <c r="E24" i="1" s="1"/>
  <c r="E20" i="1" l="1"/>
  <c r="E21" i="1" s="1"/>
  <c r="B23" i="1"/>
  <c r="B24" i="1" s="1"/>
  <c r="G27" i="1"/>
  <c r="H27" i="1"/>
  <c r="D27" i="1"/>
  <c r="F27" i="1"/>
  <c r="C15" i="1"/>
  <c r="C17" i="1"/>
  <c r="C18" i="1" s="1"/>
  <c r="C20" i="1"/>
  <c r="C21" i="1" s="1"/>
  <c r="I20" i="1"/>
  <c r="I21" i="1" s="1"/>
  <c r="B20" i="1"/>
  <c r="B21" i="1" s="1"/>
  <c r="B15" i="1"/>
  <c r="F15" i="1"/>
  <c r="H15" i="1"/>
  <c r="D17" i="1"/>
  <c r="D18" i="1" s="1"/>
  <c r="H17" i="1"/>
  <c r="H18" i="1" s="1"/>
  <c r="G17" i="1"/>
  <c r="G18" i="1" s="1"/>
  <c r="G15" i="1"/>
  <c r="I17" i="1"/>
  <c r="I18" i="1" s="1"/>
  <c r="E15" i="1"/>
  <c r="E17" i="1"/>
  <c r="E18" i="1" s="1"/>
</calcChain>
</file>

<file path=xl/sharedStrings.xml><?xml version="1.0" encoding="utf-8"?>
<sst xmlns="http://schemas.openxmlformats.org/spreadsheetml/2006/main" count="29" uniqueCount="29">
  <si>
    <t>H</t>
  </si>
  <si>
    <t>W</t>
  </si>
  <si>
    <t>patch_size</t>
  </si>
  <si>
    <t>heads</t>
  </si>
  <si>
    <t>H/p</t>
  </si>
  <si>
    <t>W/p</t>
  </si>
  <si>
    <t>H/p * W/p</t>
  </si>
  <si>
    <t>T1</t>
  </si>
  <si>
    <t>T2</t>
  </si>
  <si>
    <t>C</t>
  </si>
  <si>
    <t>dim = p * p * C</t>
  </si>
  <si>
    <t>attLayers = 1</t>
  </si>
  <si>
    <t>L = T1 * H/p * W/p</t>
  </si>
  <si>
    <t>L * L * heads</t>
  </si>
  <si>
    <t>dim_head = dim / heads</t>
  </si>
  <si>
    <t>Original</t>
  </si>
  <si>
    <t>L2 = H/p * W/p</t>
  </si>
  <si>
    <t>L2 * L2 * heads * T1</t>
  </si>
  <si>
    <t>L3 = T1 * H/p</t>
  </si>
  <si>
    <t>L3 * L3 * heads * W/p</t>
  </si>
  <si>
    <t>L4 = T1 * W/p</t>
  </si>
  <si>
    <t>L4 * L4 * heads * H/p</t>
  </si>
  <si>
    <t>Mode.1</t>
  </si>
  <si>
    <t>Mode.2</t>
  </si>
  <si>
    <t>Mode.4</t>
  </si>
  <si>
    <t>Mode.5</t>
  </si>
  <si>
    <t>Mode.6</t>
  </si>
  <si>
    <t>Mode.7</t>
  </si>
  <si>
    <t>Mode.3  --- diver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</si>
</sst>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6"/>
      <color rgb="FFCE9178"/>
      <name val="Consolas"/>
      <family val="3"/>
    </font>
    <font>
      <sz val="11"/>
      <color rgb="FF7030A0"/>
      <name val="Calibri"/>
      <family val="2"/>
      <scheme val="minor"/>
    </font>
    <font>
      <sz val="11"/>
      <color rgb="FFC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4" fontId="2" fillId="0" borderId="0" xfId="0" applyNumberFormat="1" applyFont="1"/>
    <xf numFmtId="4" fontId="3" fillId="0" borderId="0" xfId="0" applyNumberFormat="1" applyFont="1"/>
    <xf numFmtId="4" fontId="0" fillId="2" borderId="0" xfId="0" applyNumberFormat="1" applyFill="1"/>
    <xf numFmtId="4" fontId="3" fillId="2" borderId="0" xfId="0" applyNumberFormat="1" applyFont="1" applyFill="1"/>
    <xf numFmtId="4" fontId="0" fillId="3" borderId="0" xfId="0" applyNumberFormat="1" applyFill="1"/>
    <xf numFmtId="0" fontId="0" fillId="3" borderId="0" xfId="0" applyFill="1"/>
    <xf numFmtId="4" fontId="3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419D8-0CC7-4375-983E-B9310DD8FE96}">
  <dimension ref="A1:L27"/>
  <sheetViews>
    <sheetView tabSelected="1" workbookViewId="0">
      <selection activeCell="D1" sqref="D1"/>
    </sheetView>
  </sheetViews>
  <sheetFormatPr defaultRowHeight="14.6" x14ac:dyDescent="0.4"/>
  <cols>
    <col min="1" max="1" width="22.07421875" customWidth="1"/>
    <col min="2" max="8" width="18.3046875" style="1" customWidth="1"/>
    <col min="9" max="9" width="18.61328125" style="3" customWidth="1"/>
  </cols>
  <sheetData>
    <row r="1" spans="1:12" x14ac:dyDescent="0.4">
      <c r="B1" s="1" t="s">
        <v>22</v>
      </c>
      <c r="C1" s="1" t="s">
        <v>23</v>
      </c>
      <c r="D1" s="8" t="s">
        <v>28</v>
      </c>
      <c r="E1" s="1" t="s">
        <v>24</v>
      </c>
      <c r="F1" s="1" t="s">
        <v>25</v>
      </c>
      <c r="G1" s="1" t="s">
        <v>26</v>
      </c>
      <c r="H1" s="1" t="s">
        <v>27</v>
      </c>
      <c r="I1" s="3" t="s">
        <v>15</v>
      </c>
      <c r="J1" s="2"/>
      <c r="L1" t="s">
        <v>11</v>
      </c>
    </row>
    <row r="3" spans="1:12" x14ac:dyDescent="0.4">
      <c r="A3" t="s">
        <v>0</v>
      </c>
      <c r="B3" s="1">
        <v>720</v>
      </c>
      <c r="C3" s="1">
        <v>720</v>
      </c>
      <c r="D3" s="1">
        <v>720</v>
      </c>
      <c r="E3" s="1">
        <v>720</v>
      </c>
      <c r="F3" s="1">
        <v>720</v>
      </c>
      <c r="G3" s="1">
        <v>720</v>
      </c>
      <c r="H3" s="1">
        <v>720</v>
      </c>
      <c r="I3" s="4">
        <v>720</v>
      </c>
    </row>
    <row r="4" spans="1:12" x14ac:dyDescent="0.4">
      <c r="A4" t="s">
        <v>1</v>
      </c>
      <c r="B4" s="1">
        <v>1440</v>
      </c>
      <c r="C4" s="1">
        <v>1440</v>
      </c>
      <c r="D4" s="1">
        <v>1440</v>
      </c>
      <c r="E4" s="1">
        <v>1440</v>
      </c>
      <c r="F4" s="1">
        <v>1440</v>
      </c>
      <c r="G4" s="1">
        <v>1440</v>
      </c>
      <c r="H4" s="1">
        <v>1440</v>
      </c>
      <c r="I4" s="4">
        <v>1440</v>
      </c>
    </row>
    <row r="5" spans="1:12" x14ac:dyDescent="0.4">
      <c r="A5" t="s">
        <v>7</v>
      </c>
      <c r="B5" s="5">
        <v>2</v>
      </c>
      <c r="C5" s="5">
        <v>3</v>
      </c>
      <c r="D5" s="5">
        <v>3</v>
      </c>
      <c r="E5" s="5">
        <v>6</v>
      </c>
      <c r="F5" s="5">
        <v>12</v>
      </c>
      <c r="G5" s="5">
        <v>4</v>
      </c>
      <c r="H5" s="1">
        <v>8</v>
      </c>
      <c r="I5" s="4">
        <v>24</v>
      </c>
    </row>
    <row r="6" spans="1:12" x14ac:dyDescent="0.4">
      <c r="A6" t="s">
        <v>8</v>
      </c>
      <c r="B6" s="1">
        <v>3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>
        <v>3</v>
      </c>
      <c r="I6" s="4">
        <v>24</v>
      </c>
    </row>
    <row r="7" spans="1:12" x14ac:dyDescent="0.4">
      <c r="A7" t="s">
        <v>9</v>
      </c>
      <c r="B7" s="1">
        <v>4</v>
      </c>
      <c r="C7" s="1">
        <v>4</v>
      </c>
      <c r="D7" s="1">
        <v>4</v>
      </c>
      <c r="E7" s="1">
        <v>4</v>
      </c>
      <c r="F7" s="1">
        <v>4</v>
      </c>
      <c r="G7" s="1">
        <v>4</v>
      </c>
      <c r="H7" s="1">
        <v>4</v>
      </c>
      <c r="I7" s="4">
        <v>4</v>
      </c>
    </row>
    <row r="8" spans="1:12" x14ac:dyDescent="0.4">
      <c r="A8" t="s">
        <v>2</v>
      </c>
      <c r="B8" s="5">
        <v>16</v>
      </c>
      <c r="C8" s="5">
        <v>16</v>
      </c>
      <c r="D8" s="5">
        <v>16</v>
      </c>
      <c r="E8" s="5">
        <v>16</v>
      </c>
      <c r="F8" s="5">
        <v>16</v>
      </c>
      <c r="G8" s="5">
        <v>16</v>
      </c>
      <c r="H8" s="5">
        <v>20</v>
      </c>
      <c r="I8" s="4">
        <v>16</v>
      </c>
    </row>
    <row r="9" spans="1:12" x14ac:dyDescent="0.4">
      <c r="A9" t="s">
        <v>3</v>
      </c>
      <c r="B9" s="5">
        <v>512</v>
      </c>
      <c r="C9" s="5">
        <v>256</v>
      </c>
      <c r="D9" s="7">
        <v>512</v>
      </c>
      <c r="E9" s="7">
        <v>64</v>
      </c>
      <c r="F9" s="5">
        <v>16</v>
      </c>
      <c r="G9" s="5">
        <v>128</v>
      </c>
      <c r="H9" s="5">
        <v>64</v>
      </c>
      <c r="I9" s="5">
        <v>4</v>
      </c>
    </row>
    <row r="10" spans="1:12" x14ac:dyDescent="0.4">
      <c r="I10" s="4"/>
    </row>
    <row r="11" spans="1:12" x14ac:dyDescent="0.4">
      <c r="A11" t="s">
        <v>4</v>
      </c>
      <c r="B11" s="1">
        <f>B3/B8</f>
        <v>45</v>
      </c>
      <c r="C11" s="1">
        <f>C3/C8</f>
        <v>45</v>
      </c>
      <c r="D11" s="1">
        <f>D3/D8</f>
        <v>45</v>
      </c>
      <c r="E11" s="1">
        <f>E3/E8</f>
        <v>45</v>
      </c>
      <c r="F11" s="1">
        <f>F3/F8</f>
        <v>45</v>
      </c>
      <c r="G11" s="1">
        <f>G3/G8</f>
        <v>45</v>
      </c>
      <c r="H11" s="1">
        <f>H3/H8</f>
        <v>36</v>
      </c>
      <c r="I11" s="4">
        <f>I3/I8</f>
        <v>45</v>
      </c>
    </row>
    <row r="12" spans="1:12" x14ac:dyDescent="0.4">
      <c r="A12" t="s">
        <v>5</v>
      </c>
      <c r="B12" s="1">
        <f>B4/B8</f>
        <v>90</v>
      </c>
      <c r="C12" s="1">
        <f>C4/C8</f>
        <v>90</v>
      </c>
      <c r="D12" s="1">
        <f>D4/D8</f>
        <v>90</v>
      </c>
      <c r="E12" s="1">
        <f>E4/E8</f>
        <v>90</v>
      </c>
      <c r="F12" s="1">
        <f>F4/F8</f>
        <v>90</v>
      </c>
      <c r="G12" s="1">
        <f>G4/G8</f>
        <v>90</v>
      </c>
      <c r="H12" s="1">
        <f>H4/H8</f>
        <v>72</v>
      </c>
      <c r="I12" s="4">
        <f>I4/I8</f>
        <v>90</v>
      </c>
    </row>
    <row r="13" spans="1:12" x14ac:dyDescent="0.4">
      <c r="A13" t="s">
        <v>10</v>
      </c>
      <c r="B13" s="6">
        <f>B8*B8*B7</f>
        <v>1024</v>
      </c>
      <c r="C13" s="6">
        <f>C8*C8*C7</f>
        <v>1024</v>
      </c>
      <c r="D13" s="6">
        <f>D8*D8*D7</f>
        <v>1024</v>
      </c>
      <c r="E13" s="6">
        <f>E8*E8*E7</f>
        <v>1024</v>
      </c>
      <c r="F13" s="6">
        <f>F8*F8*F7</f>
        <v>1024</v>
      </c>
      <c r="G13" s="6">
        <f>G8*G8*G7</f>
        <v>1024</v>
      </c>
      <c r="H13" s="1">
        <f>H8*H8*H7</f>
        <v>1600</v>
      </c>
      <c r="I13" s="4">
        <f>I8*I8*I7</f>
        <v>1024</v>
      </c>
    </row>
    <row r="14" spans="1:12" x14ac:dyDescent="0.4">
      <c r="A14" t="s">
        <v>14</v>
      </c>
      <c r="B14" s="5">
        <f>B13/B9</f>
        <v>2</v>
      </c>
      <c r="C14" s="5">
        <f>C13/C9</f>
        <v>4</v>
      </c>
      <c r="D14" s="10">
        <f>D13/D9</f>
        <v>2</v>
      </c>
      <c r="E14" s="5">
        <f>E13/E9</f>
        <v>16</v>
      </c>
      <c r="F14" s="5">
        <f>F13/F9</f>
        <v>64</v>
      </c>
      <c r="G14" s="5">
        <f>G13/G9</f>
        <v>8</v>
      </c>
      <c r="H14" s="5">
        <f>H13/H9</f>
        <v>25</v>
      </c>
      <c r="I14" s="5">
        <f>I13/I9</f>
        <v>256</v>
      </c>
    </row>
    <row r="15" spans="1:12" x14ac:dyDescent="0.4">
      <c r="A15" t="s">
        <v>6</v>
      </c>
      <c r="B15" s="1">
        <f>B11*B12</f>
        <v>4050</v>
      </c>
      <c r="C15" s="1">
        <f>C11*C12</f>
        <v>4050</v>
      </c>
      <c r="D15" s="1">
        <f>D11*D12</f>
        <v>4050</v>
      </c>
      <c r="E15" s="1">
        <f>E11*E12</f>
        <v>4050</v>
      </c>
      <c r="F15" s="1">
        <f>F11*F12</f>
        <v>4050</v>
      </c>
      <c r="G15" s="1">
        <f>G11*G12</f>
        <v>4050</v>
      </c>
      <c r="H15" s="1">
        <f>H11*H12</f>
        <v>2592</v>
      </c>
      <c r="I15" s="4">
        <f>I11*I12</f>
        <v>4050</v>
      </c>
    </row>
    <row r="16" spans="1:12" x14ac:dyDescent="0.4">
      <c r="A16" s="1"/>
      <c r="I16" s="4"/>
    </row>
    <row r="17" spans="1:9" x14ac:dyDescent="0.4">
      <c r="A17" s="9" t="s">
        <v>12</v>
      </c>
      <c r="B17" s="5">
        <f>B11*B12*B5</f>
        <v>8100</v>
      </c>
      <c r="C17" s="5">
        <f>C11*C12*C5</f>
        <v>12150</v>
      </c>
      <c r="D17" s="5">
        <f>D11*D12*D5</f>
        <v>12150</v>
      </c>
      <c r="E17" s="5">
        <f>E11*E12*E5</f>
        <v>24300</v>
      </c>
      <c r="F17" s="5">
        <f>F11*F12*F5</f>
        <v>48600</v>
      </c>
      <c r="G17" s="5">
        <f>G11*G12*G5</f>
        <v>16200</v>
      </c>
      <c r="H17" s="5">
        <f>H11*H12*H5</f>
        <v>20736</v>
      </c>
      <c r="I17" s="5">
        <f>I11*I12*I5</f>
        <v>97200</v>
      </c>
    </row>
    <row r="18" spans="1:9" x14ac:dyDescent="0.4">
      <c r="A18" t="s">
        <v>13</v>
      </c>
      <c r="B18" s="1">
        <f>B17*B17*B9</f>
        <v>33592320000</v>
      </c>
      <c r="C18" s="1">
        <f>C17*C17*C9</f>
        <v>37791360000</v>
      </c>
      <c r="D18" s="1">
        <f>D17*D17*D9</f>
        <v>75582720000</v>
      </c>
      <c r="E18" s="1">
        <f>E17*E17*E9</f>
        <v>37791360000</v>
      </c>
      <c r="F18" s="1">
        <f>F17*F17*F9</f>
        <v>37791360000</v>
      </c>
      <c r="G18" s="1">
        <f>G17*G17*G9</f>
        <v>33592320000</v>
      </c>
      <c r="H18" s="1">
        <f>H17*H17*H9</f>
        <v>27518828544</v>
      </c>
      <c r="I18" s="4">
        <f>I17*I17*I9</f>
        <v>37791360000</v>
      </c>
    </row>
    <row r="20" spans="1:9" x14ac:dyDescent="0.4">
      <c r="A20" s="9" t="s">
        <v>16</v>
      </c>
      <c r="B20" s="1">
        <f>B11*B12</f>
        <v>4050</v>
      </c>
      <c r="C20" s="1">
        <f>C11*C12</f>
        <v>4050</v>
      </c>
      <c r="D20" s="1">
        <f>D11*D12</f>
        <v>4050</v>
      </c>
      <c r="E20" s="1">
        <f>E11*E12</f>
        <v>4050</v>
      </c>
      <c r="F20" s="1">
        <f>F11*F12</f>
        <v>4050</v>
      </c>
      <c r="G20" s="1">
        <f>G11*G12</f>
        <v>4050</v>
      </c>
      <c r="H20" s="1">
        <f>H11*H12</f>
        <v>2592</v>
      </c>
      <c r="I20" s="1">
        <f>I11*I12</f>
        <v>4050</v>
      </c>
    </row>
    <row r="21" spans="1:9" x14ac:dyDescent="0.4">
      <c r="A21" t="s">
        <v>17</v>
      </c>
      <c r="B21" s="1">
        <f>B20*B20*B9*B5</f>
        <v>16796160000</v>
      </c>
      <c r="C21" s="1">
        <f>C20*C20*C9*C5</f>
        <v>12597120000</v>
      </c>
      <c r="D21" s="1">
        <f>D20*D20*D9*D5</f>
        <v>25194240000</v>
      </c>
      <c r="E21" s="1">
        <f>E20*E20*E9*E5</f>
        <v>6298560000</v>
      </c>
      <c r="F21" s="1">
        <f>F20*F20*F9*F5</f>
        <v>3149280000</v>
      </c>
      <c r="G21" s="1">
        <f>G20*G20*G9*G5</f>
        <v>8398080000</v>
      </c>
      <c r="H21" s="1">
        <f>H20*H20*H9*H5</f>
        <v>3439853568</v>
      </c>
      <c r="I21" s="8">
        <f>I20*I20*I9*I5</f>
        <v>1574640000</v>
      </c>
    </row>
    <row r="23" spans="1:9" x14ac:dyDescent="0.4">
      <c r="A23" s="9" t="s">
        <v>18</v>
      </c>
      <c r="B23" s="1">
        <f>B5*B11</f>
        <v>90</v>
      </c>
      <c r="C23" s="1">
        <f>C5*C11</f>
        <v>135</v>
      </c>
      <c r="D23" s="1">
        <f>D5*D11</f>
        <v>135</v>
      </c>
      <c r="E23" s="1">
        <f>E5*E11</f>
        <v>270</v>
      </c>
      <c r="F23" s="1">
        <f>F5*F11</f>
        <v>540</v>
      </c>
      <c r="G23" s="1">
        <f>G5*G11</f>
        <v>180</v>
      </c>
      <c r="H23" s="1">
        <f>H5*H11</f>
        <v>288</v>
      </c>
    </row>
    <row r="24" spans="1:9" x14ac:dyDescent="0.4">
      <c r="A24" t="s">
        <v>19</v>
      </c>
      <c r="B24" s="1">
        <f>B23*B23*B9*B12</f>
        <v>373248000</v>
      </c>
      <c r="C24" s="1">
        <f>C23*C23*C9*C12</f>
        <v>419904000</v>
      </c>
      <c r="D24" s="1">
        <f>D23*D23*D9*D12</f>
        <v>839808000</v>
      </c>
      <c r="E24" s="1">
        <f>E23*E23*E9*E12</f>
        <v>419904000</v>
      </c>
      <c r="F24" s="1">
        <f>F23*F23*F9*F12</f>
        <v>419904000</v>
      </c>
      <c r="G24" s="1">
        <f>G23*G23*G9*G12</f>
        <v>373248000</v>
      </c>
      <c r="H24" s="1">
        <f>H23*H23*H9*H12</f>
        <v>382205952</v>
      </c>
    </row>
    <row r="26" spans="1:9" x14ac:dyDescent="0.4">
      <c r="A26" s="9" t="s">
        <v>20</v>
      </c>
      <c r="B26" s="1">
        <f>B5*B12</f>
        <v>180</v>
      </c>
      <c r="C26" s="1">
        <f>C5*C12</f>
        <v>270</v>
      </c>
      <c r="D26" s="1">
        <f>D5*D12</f>
        <v>270</v>
      </c>
      <c r="E26" s="1">
        <f>E5*E12</f>
        <v>540</v>
      </c>
      <c r="F26" s="1">
        <f>F5*F12</f>
        <v>1080</v>
      </c>
      <c r="G26" s="1">
        <f>G5*G12</f>
        <v>360</v>
      </c>
      <c r="H26" s="1">
        <f>H5*H12</f>
        <v>576</v>
      </c>
    </row>
    <row r="27" spans="1:9" x14ac:dyDescent="0.4">
      <c r="A27" t="s">
        <v>21</v>
      </c>
      <c r="B27" s="1">
        <f>B26*B26*B9*B11</f>
        <v>746496000</v>
      </c>
      <c r="C27" s="1">
        <f>C26*C26*C9*C11</f>
        <v>839808000</v>
      </c>
      <c r="D27" s="8">
        <f>D26*D26*D9*D11</f>
        <v>1679616000</v>
      </c>
      <c r="E27" s="1">
        <f>E26*E26*E9*E11</f>
        <v>839808000</v>
      </c>
      <c r="F27" s="1">
        <f>F26*F26*F9*F11</f>
        <v>839808000</v>
      </c>
      <c r="G27" s="1">
        <f>G26*G26*G9*G11</f>
        <v>746496000</v>
      </c>
      <c r="H27" s="1">
        <f>H26*H26*H9*H11</f>
        <v>764411904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Jobs</dc:creator>
  <cp:lastModifiedBy>Mike Jobs</cp:lastModifiedBy>
  <dcterms:created xsi:type="dcterms:W3CDTF">2025-09-21T00:37:04Z</dcterms:created>
  <dcterms:modified xsi:type="dcterms:W3CDTF">2025-09-24T02:48:13Z</dcterms:modified>
</cp:coreProperties>
</file>